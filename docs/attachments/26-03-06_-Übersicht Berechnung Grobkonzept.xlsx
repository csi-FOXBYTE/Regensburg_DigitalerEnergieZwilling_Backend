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Technische Daten\Projekte\25-10-10_Foxbyte\"/>
    </mc:Choice>
  </mc:AlternateContent>
  <xr:revisionPtr revIDLastSave="0" documentId="13_ncr:1_{5C4609B3-6547-4156-BA0E-4CF178F0D331}" xr6:coauthVersionLast="47" xr6:coauthVersionMax="47" xr10:uidLastSave="{00000000-0000-0000-0000-000000000000}"/>
  <bookViews>
    <workbookView xWindow="28680" yWindow="-120" windowWidth="29040" windowHeight="15720" xr2:uid="{703A5D90-4837-49DE-895F-0E1B4E770062}"/>
  </bookViews>
  <sheets>
    <sheet name="Grobkonzept" sheetId="1" r:id="rId1"/>
    <sheet name="Dach-Fenster" sheetId="6" r:id="rId2"/>
    <sheet name="OGD" sheetId="11" r:id="rId3"/>
    <sheet name="AW-Fenster" sheetId="8" r:id="rId4"/>
    <sheet name="UGD" sheetId="10" r:id="rId5"/>
    <sheet name="Heizung" sheetId="5" r:id="rId6"/>
    <sheet name="Berechnungen" sheetId="12" r:id="rId7"/>
    <sheet name="Kat. 1 U-Wert" sheetId="3" r:id="rId8"/>
    <sheet name="Kat. 2 Heizung" sheetId="4" r:id="rId9"/>
    <sheet name="Formeln" sheetId="2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3" i="1" l="1"/>
  <c r="D64" i="12"/>
  <c r="V136" i="1" l="1"/>
  <c r="Q138" i="1" s="1"/>
  <c r="X30" i="6"/>
  <c r="AA30" i="6"/>
  <c r="Q7" i="6"/>
  <c r="D30" i="12"/>
  <c r="B30" i="12" s="1"/>
  <c r="D25" i="12"/>
  <c r="D20" i="12"/>
  <c r="B5" i="12"/>
  <c r="F10" i="12" s="1"/>
  <c r="Z4" i="8"/>
  <c r="S28" i="8" s="1"/>
  <c r="AM4" i="8"/>
  <c r="S20" i="10"/>
  <c r="X23" i="10"/>
  <c r="AA23" i="10"/>
  <c r="X19" i="10"/>
  <c r="AC19" i="10"/>
  <c r="AD23" i="10" s="1"/>
  <c r="Z19" i="10"/>
  <c r="S38" i="8"/>
  <c r="Z37" i="8"/>
  <c r="X37" i="8"/>
  <c r="X27" i="8"/>
  <c r="X31" i="8" s="1"/>
  <c r="X19" i="11"/>
  <c r="X36" i="6"/>
  <c r="X26" i="6"/>
  <c r="AC27" i="8"/>
  <c r="Q38" i="8"/>
  <c r="AD31" i="8"/>
  <c r="O37" i="6"/>
  <c r="Q37" i="6"/>
  <c r="S37" i="6"/>
  <c r="AC26" i="6"/>
  <c r="AD30" i="6" s="1"/>
  <c r="Q27" i="6"/>
  <c r="Z26" i="6"/>
  <c r="X23" i="11"/>
  <c r="Q20" i="11"/>
  <c r="O20" i="11" s="1"/>
  <c r="S20" i="11"/>
  <c r="AC19" i="11"/>
  <c r="AD23" i="11" s="1"/>
  <c r="AP129" i="1"/>
  <c r="AN129" i="1"/>
  <c r="AL129" i="1"/>
  <c r="AJ129" i="1"/>
  <c r="AP125" i="1"/>
  <c r="AL131" i="1" s="1"/>
  <c r="AH131" i="1" s="1"/>
  <c r="AL133" i="1" s="1"/>
  <c r="AH126" i="1"/>
  <c r="AH125" i="1"/>
  <c r="AB127" i="1"/>
  <c r="AB126" i="1"/>
  <c r="AB125" i="1"/>
  <c r="U126" i="1"/>
  <c r="AO117" i="1"/>
  <c r="X118" i="1" s="1"/>
  <c r="S119" i="1" s="1"/>
  <c r="AB119" i="1"/>
  <c r="AB118" i="1"/>
  <c r="AN115" i="1"/>
  <c r="AP109" i="1"/>
  <c r="AN109" i="1"/>
  <c r="AL109" i="1"/>
  <c r="AJ109" i="1"/>
  <c r="AP105" i="1"/>
  <c r="AL111" i="1" s="1"/>
  <c r="AH111" i="1" s="1"/>
  <c r="AL113" i="1" s="1"/>
  <c r="X116" i="1" l="1"/>
  <c r="U119" i="1" s="1"/>
  <c r="O119" i="1" s="1"/>
  <c r="F51" i="12"/>
  <c r="F56" i="12"/>
  <c r="B56" i="12" s="1"/>
  <c r="F64" i="12"/>
  <c r="B64" i="12" s="1"/>
  <c r="G65" i="1" s="1"/>
  <c r="F61" i="12"/>
  <c r="B61" i="12" s="1"/>
  <c r="B51" i="12"/>
  <c r="F15" i="12"/>
  <c r="B15" i="12" s="1"/>
  <c r="B10" i="12"/>
  <c r="U23" i="10"/>
  <c r="U19" i="10" s="1"/>
  <c r="Q20" i="10"/>
  <c r="O20" i="10" s="1"/>
  <c r="O38" i="8"/>
  <c r="Q28" i="8"/>
  <c r="O28" i="8" s="1"/>
  <c r="U30" i="6"/>
  <c r="U26" i="6" s="1"/>
  <c r="AH129" i="1"/>
  <c r="AH109" i="1"/>
  <c r="AN113" i="1" s="1"/>
  <c r="AH113" i="1" s="1"/>
  <c r="Z105" i="1" s="1"/>
  <c r="AN103" i="1"/>
  <c r="AB107" i="1"/>
  <c r="AB106" i="1"/>
  <c r="H35" i="12" l="1"/>
  <c r="B35" i="12" s="1"/>
  <c r="V138" i="1"/>
  <c r="U138" i="1" s="1"/>
  <c r="O138" i="1" s="1"/>
  <c r="F25" i="12"/>
  <c r="B25" i="12" s="1"/>
  <c r="F20" i="12"/>
  <c r="B20" i="12" s="1"/>
  <c r="AN133" i="1"/>
  <c r="AH133" i="1" s="1"/>
  <c r="Z126" i="1"/>
  <c r="V126" i="1" s="1"/>
  <c r="S126" i="1" s="1"/>
  <c r="O126" i="1" s="1"/>
  <c r="D46" i="12" l="1"/>
  <c r="B46" i="12" s="1"/>
  <c r="D40" i="12"/>
  <c r="J70" i="1" s="1"/>
  <c r="V105" i="1"/>
  <c r="S105" i="1" s="1"/>
  <c r="W8" i="8"/>
  <c r="AN18" i="8"/>
  <c r="Z19" i="8" s="1"/>
  <c r="AM16" i="8"/>
  <c r="Z17" i="8" s="1"/>
  <c r="W20" i="8" s="1"/>
  <c r="AO6" i="8"/>
  <c r="AK12" i="8" s="1"/>
  <c r="AG12" i="8" s="1"/>
  <c r="AK14" i="8" s="1"/>
  <c r="AO10" i="8"/>
  <c r="AM10" i="8"/>
  <c r="AK10" i="8"/>
  <c r="AI10" i="8"/>
  <c r="Z4" i="10"/>
  <c r="AO6" i="10"/>
  <c r="AK12" i="10" s="1"/>
  <c r="AG12" i="10" s="1"/>
  <c r="AK14" i="10" s="1"/>
  <c r="AO10" i="10"/>
  <c r="AM10" i="10"/>
  <c r="AK10" i="10"/>
  <c r="AI10" i="10"/>
  <c r="AE8" i="8"/>
  <c r="U7" i="10" l="1"/>
  <c r="AG10" i="10"/>
  <c r="AM14" i="10" s="1"/>
  <c r="AG14" i="10" s="1"/>
  <c r="AG10" i="8"/>
  <c r="AM14" i="8" s="1"/>
  <c r="AG14" i="8" s="1"/>
  <c r="AB6" i="8" s="1"/>
  <c r="U20" i="8"/>
  <c r="Q20" i="8" s="1"/>
  <c r="AJ96" i="1"/>
  <c r="AP96" i="1"/>
  <c r="AO10" i="11"/>
  <c r="AI10" i="11"/>
  <c r="X85" i="1"/>
  <c r="S86" i="1" s="1"/>
  <c r="AP92" i="1"/>
  <c r="AL98" i="1" s="1"/>
  <c r="AH93" i="1"/>
  <c r="AH92" i="1"/>
  <c r="AN96" i="1"/>
  <c r="AL96" i="1"/>
  <c r="Z4" i="11"/>
  <c r="U7" i="11" s="1"/>
  <c r="Z4" i="6"/>
  <c r="S27" i="6" s="1"/>
  <c r="O27" i="6" s="1"/>
  <c r="AK10" i="11"/>
  <c r="AM10" i="11"/>
  <c r="AO6" i="11"/>
  <c r="AK12" i="11" s="1"/>
  <c r="AG12" i="11" s="1"/>
  <c r="AK14" i="11" s="1"/>
  <c r="AB94" i="1"/>
  <c r="AB93" i="1"/>
  <c r="X90" i="1"/>
  <c r="U93" i="1" s="1"/>
  <c r="AE7" i="8"/>
  <c r="AG7" i="11"/>
  <c r="AG6" i="11"/>
  <c r="AE8" i="11"/>
  <c r="AE7" i="11"/>
  <c r="AG6" i="10"/>
  <c r="AE6" i="10"/>
  <c r="AG7" i="10"/>
  <c r="AE8" i="10"/>
  <c r="AE7" i="10"/>
  <c r="AE20" i="8"/>
  <c r="AE19" i="8"/>
  <c r="AB86" i="1"/>
  <c r="AB85" i="1"/>
  <c r="AB74" i="1"/>
  <c r="AB73" i="1"/>
  <c r="AJ79" i="1"/>
  <c r="AP79" i="1"/>
  <c r="AP77" i="1"/>
  <c r="AJ77" i="1"/>
  <c r="AI10" i="6"/>
  <c r="AE19" i="6"/>
  <c r="X83" i="1"/>
  <c r="U86" i="1" s="1"/>
  <c r="AN79" i="1"/>
  <c r="AL79" i="1"/>
  <c r="AN77" i="1"/>
  <c r="AL77" i="1"/>
  <c r="AN71" i="1"/>
  <c r="W71" i="1" s="1"/>
  <c r="AE18" i="6"/>
  <c r="Z18" i="6"/>
  <c r="Z16" i="6"/>
  <c r="W17" i="6" s="1"/>
  <c r="AO12" i="6"/>
  <c r="AM12" i="6"/>
  <c r="AK12" i="6"/>
  <c r="AI12" i="6"/>
  <c r="AO10" i="6"/>
  <c r="AM10" i="6"/>
  <c r="AK10" i="6"/>
  <c r="AE8" i="6"/>
  <c r="AE7" i="6"/>
  <c r="AM4" i="6"/>
  <c r="O68" i="1"/>
  <c r="L72" i="1" s="1"/>
  <c r="X6" i="8" l="1"/>
  <c r="U17" i="6"/>
  <c r="Z36" i="6"/>
  <c r="AB7" i="10"/>
  <c r="X7" i="10" s="1"/>
  <c r="AH96" i="1"/>
  <c r="AN100" i="1" s="1"/>
  <c r="AH98" i="1"/>
  <c r="AL100" i="1" s="1"/>
  <c r="AG10" i="11"/>
  <c r="AM14" i="11" s="1"/>
  <c r="O86" i="1"/>
  <c r="AH79" i="1"/>
  <c r="Z78" i="1" s="1"/>
  <c r="V78" i="1" s="1"/>
  <c r="AH77" i="1"/>
  <c r="Z74" i="1" s="1"/>
  <c r="V74" i="1" s="1"/>
  <c r="X75" i="1" s="1"/>
  <c r="V75" i="1" s="1"/>
  <c r="S74" i="1" s="1"/>
  <c r="U74" i="1"/>
  <c r="AG12" i="6"/>
  <c r="AB11" i="6" s="1"/>
  <c r="X11" i="6" s="1"/>
  <c r="AG10" i="6"/>
  <c r="Q17" i="6"/>
  <c r="U7" i="6"/>
  <c r="U8" i="8" l="1"/>
  <c r="Q8" i="8" s="1"/>
  <c r="Z27" i="8"/>
  <c r="AA31" i="8" s="1"/>
  <c r="U31" i="8" s="1"/>
  <c r="U27" i="8" s="1"/>
  <c r="S7" i="10"/>
  <c r="Q7" i="10" s="1"/>
  <c r="AH100" i="1"/>
  <c r="Z93" i="1" s="1"/>
  <c r="V93" i="1" s="1"/>
  <c r="S93" i="1" s="1"/>
  <c r="O93" i="1" s="1"/>
  <c r="AB7" i="6"/>
  <c r="X7" i="6" s="1"/>
  <c r="Z8" i="6" s="1"/>
  <c r="X8" i="6" s="1"/>
  <c r="S7" i="6" s="1"/>
  <c r="AG14" i="11"/>
  <c r="AB7" i="11"/>
  <c r="X7" i="11" s="1"/>
  <c r="Z19" i="11" s="1"/>
  <c r="O74" i="1"/>
  <c r="S7" i="11" l="1"/>
  <c r="Q7" i="11" s="1"/>
  <c r="AA23" i="11"/>
  <c r="U23" i="11" s="1"/>
  <c r="U19" i="11" s="1"/>
  <c r="X103" i="1"/>
  <c r="U105" i="1" l="1"/>
  <c r="O105" i="1" s="1"/>
  <c r="J72" i="1" s="1"/>
  <c r="N72" i="1"/>
  <c r="L77" i="1" s="1"/>
  <c r="H72" i="1" l="1"/>
  <c r="L70" i="1" s="1"/>
  <c r="H70" i="1" s="1"/>
  <c r="J77" i="1" l="1"/>
  <c r="H77" i="1" s="1"/>
  <c r="F40" i="12"/>
  <c r="B40" i="12" s="1"/>
  <c r="D69" i="12" s="1"/>
  <c r="B69" i="12" s="1"/>
  <c r="G69" i="1" s="1"/>
  <c r="F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tc={7C312E80-0EFB-4F63-9FB5-4001CB2D7B9B}</author>
    <author>tc={6F73B315-FA74-4589-A944-2045D3B2E4C4}</author>
    <author>tc={C3C0D628-8C2A-4742-9620-48091BE4FF4E}</author>
    <author>tc={B5220C2B-7926-41CA-8197-F96CC82CC722}</author>
    <author>tc={E1594331-A7F5-4311-805C-5001E0EC7EB8}</author>
    <author>tc={C00016C2-7BF5-4C1C-9BDD-6142DA2E4FA4}</author>
    <author>tc={D5E3BE73-B612-47BA-BF38-D7068E762AA7}</author>
    <author>tc={53C25F50-570B-4F54-B38B-552286322285}</author>
    <author>tc={E2A0DE2C-05E8-484E-9236-33404914FF32}</author>
    <author>tc={C94F5835-A486-4C14-B455-F8236C90BC1A}</author>
    <author>tc={7ADD82DB-6196-4878-8D11-D3DC7ED0E86B}</author>
    <author>tc={6AD8EBE0-E6A5-4621-9AA3-E41CD26B0F4D}</author>
    <author>tc={BE7671D5-AAC1-4561-8465-2B1A2A1A4C5B}</author>
    <author>tc={548E33A3-4D1B-4CA6-96EB-876335D2BB6B}</author>
    <author>tc={5ABCAE99-D9F9-4DE4-8F1B-EA1F24BC6403}</author>
    <author>tc={B1E838FF-7605-4410-ACA1-AFECE5850934}</author>
    <author>tc={D305441E-9605-4BDC-A040-AF0CBE52D734}</author>
    <author>tc={F4864A61-5B4C-46A2-958B-E7E71BA5071A}</author>
    <author>tc={4A05E870-4671-47EF-8FAD-A19F7EB7F705}</author>
    <author>tc={435006F1-42AF-44A2-A796-B472C13DC705}</author>
    <author>tc={FE53735A-EFF3-4662-A354-BD63C8540B8A}</author>
    <author>tc={34FE3695-A470-4010-A52E-8567596EF065}</author>
    <author>tc={7150452B-F2C3-4297-B4DA-AEE3BDDE2A90}</author>
    <author>Timo Pohlmann</author>
    <author>tc={0A2FE250-3E87-446B-BB77-23CE1DADDBFC}</author>
    <author>tc={3666FBA1-11F0-4F0E-B385-80E062560FB7}</author>
    <author>tc={1B5E35E2-87F2-484A-92B1-ED17C275A956}</author>
    <author>tc={1F0A1AE6-3200-4F86-B3A3-5BF1C75C3108}</author>
    <author>tc={344A7644-99A9-465A-B6D1-369C0949B932}</author>
    <author>tc={DF7FC8F9-8389-44E0-8543-0E9874902376}</author>
    <author>tc={CEDCFDF4-9B96-44EB-9899-D4C69C4FC0B1}</author>
    <author>tc={54346D7D-867C-448B-9C3E-106B56C8F57A}</author>
    <author>tc={8A761802-0E9F-4753-A941-AB674CAE970B}</author>
    <author>tc={F19446E3-9472-42AF-9695-E07C2E483815}</author>
  </authors>
  <commentList>
    <comment ref="O70" authorId="0" shapeId="0" xr:uid="{7C312E80-0EFB-4F63-9FB5-4001CB2D7B9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-evtl. Abfragen beheizt oder unbeheizt zur Ermittlung der Gebäudehülle
-Vergleich Nutzertool VZ</t>
      </text>
    </comment>
    <comment ref="AB70" authorId="1" shapeId="0" xr:uid="{6F73B315-FA74-4589-A944-2045D3B2E4C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-aus den LOD Daten herausnehmen ob Flachdach oder Satteldach
-daraus ergibt sich die Konstruktion
-Flachdach = massiv
-Satteldach = Holz</t>
      </text>
    </comment>
    <comment ref="AN70" authorId="2" shapeId="0" xr:uid="{C3C0D628-8C2A-4742-9620-48091BE4FF4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W71" authorId="3" shapeId="0" xr:uid="{B5220C2B-7926-41CA-8197-F96CC82CC72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Z73" authorId="4" shapeId="0" xr:uid="{E1594331-A7F5-4311-805C-5001E0EC7EB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B73" authorId="5" shapeId="0" xr:uid="{C00016C2-7BF5-4C1C-9BDD-6142DA2E4F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Flachdach</t>
      </text>
    </comment>
    <comment ref="AH73" authorId="6" shapeId="0" xr:uid="{D5E3BE73-B612-47BA-BF38-D7068E762AA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-Schicht besteht aus Dämmung und Holzbalken
- Minderung des U-Werts der Schicht um 30% durch Holzbalken</t>
      </text>
    </comment>
    <comment ref="AB74" authorId="7" shapeId="0" xr:uid="{53C25F50-570B-4F54-B38B-5522863222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Satteldach</t>
      </text>
    </comment>
    <comment ref="AH74" authorId="8" shapeId="0" xr:uid="{E2A0DE2C-05E8-484E-9236-33404914FF3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Entweder Zwischensparrendämmung oder Aufsparrendämmung</t>
      </text>
    </comment>
    <comment ref="AH75" authorId="9" shapeId="0" xr:uid="{C94F5835-A486-4C14-B455-F8236C90BC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</t>
      </text>
    </comment>
    <comment ref="AP76" authorId="10" shapeId="0" xr:uid="{7ADD82DB-6196-4878-8D11-D3DC7ED0E86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R76" authorId="11" shapeId="0" xr:uid="{6AD8EBE0-E6A5-4621-9AA3-E41CD26B0F4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Minderung des U-Werts der Schicht um 1,30 durch Holzbalken</t>
      </text>
    </comment>
    <comment ref="AP77" authorId="12" shapeId="0" xr:uid="{BE7671D5-AAC1-4561-8465-2B1A2A1A4C5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N78" authorId="13" shapeId="0" xr:uid="{548E33A3-4D1B-4CA6-96EB-876335D2BB6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-Bemessungswert aus DIN EN ISO 10456</t>
      </text>
    </comment>
    <comment ref="AN82" authorId="14" shapeId="0" xr:uid="{5ABCAE99-D9F9-4DE4-8F1B-EA1F24BC640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X83" authorId="15" shapeId="0" xr:uid="{B1E838FF-7605-4410-ACA1-AFECE58509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N89" authorId="16" shapeId="0" xr:uid="{D305441E-9605-4BDC-A040-AF0CBE52D7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X90" authorId="17" shapeId="0" xr:uid="{F4864A61-5B4C-46A2-958B-E7E71BA507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Z92" authorId="18" shapeId="0" xr:uid="{4A05E870-4671-47EF-8FAD-A19F7EB7F7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B92" authorId="19" shapeId="0" xr:uid="{435006F1-42AF-44A2-A796-B472C13DC7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 erforderlich
abgesegnet</t>
      </text>
    </comment>
    <comment ref="AL94" authorId="20" shapeId="0" xr:uid="{FE53735A-EFF3-4662-A354-BD63C8540B8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P94" authorId="21" shapeId="0" xr:uid="{34FE3695-A470-4010-A52E-8567596EF06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Festgelegt 0,032</t>
      </text>
    </comment>
    <comment ref="AP96" authorId="22" shapeId="0" xr:uid="{7150452B-F2C3-4297-B4DA-AEE3BDDE2A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N102" authorId="23" shapeId="0" xr:uid="{B20732F6-B121-4404-8E3A-692EC3B1057D}">
      <text>
        <r>
          <rPr>
            <b/>
            <sz val="9"/>
            <color indexed="81"/>
            <rFont val="Segoe UI"/>
            <family val="2"/>
          </rPr>
          <t xml:space="preserve">Timo Pohlmann:
</t>
        </r>
        <r>
          <rPr>
            <sz val="9"/>
            <color indexed="81"/>
            <rFont val="Segoe UI"/>
            <family val="2"/>
          </rPr>
          <t>Nettogrundfläche: 1,1 * 140m² (Wohnfläche) = 154m²
154/2 Geschosse
11*7=77m² Grundfläche
7+7+11+11= 36m Umfang
36m*2,75m Ø Geschosshöhe = 99m²
99m²*2 Geschosse = 198m²</t>
        </r>
      </text>
    </comment>
    <comment ref="AP109" authorId="24" shapeId="0" xr:uid="{0A2FE250-3E87-446B-BB77-23CE1DADDBF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N115" authorId="23" shapeId="0" xr:uid="{9E8719C8-243C-4072-A767-C564CCE63E90}">
      <text>
        <r>
          <rPr>
            <b/>
            <sz val="9"/>
            <color indexed="81"/>
            <rFont val="Segoe UI"/>
            <family val="2"/>
          </rPr>
          <t>Timo Pohlmann:</t>
        </r>
        <r>
          <rPr>
            <sz val="9"/>
            <color indexed="81"/>
            <rFont val="Segoe UI"/>
            <family val="2"/>
          </rPr>
          <t xml:space="preserve">
35% Fensterflächenanteil</t>
        </r>
      </text>
    </comment>
    <comment ref="Q119" authorId="25" shapeId="0" xr:uid="{3666FBA1-11F0-4F0E-B385-80E062560F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AN122" authorId="26" shapeId="0" xr:uid="{1B5E35E2-87F2-484A-92B1-ED17C275A95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Z125" authorId="27" shapeId="0" xr:uid="{1F0A1AE6-3200-4F86-B3A3-5BF1C75C310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B127" authorId="28" shapeId="0" xr:uid="{344A7644-99A9-465A-B6D1-369C0949B93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</t>
      </text>
    </comment>
    <comment ref="AP129" authorId="29" shapeId="0" xr:uid="{DF7FC8F9-8389-44E0-8543-0E987490237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S137" authorId="30" shapeId="0" xr:uid="{CEDCFDF4-9B96-44EB-9899-D4C69C4FC0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</t>
      </text>
    </comment>
    <comment ref="V137" authorId="31" shapeId="0" xr:uid="{54346D7D-867C-448B-9C3E-106B56C8F5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Beheiztes Luftvolumen</t>
      </text>
    </comment>
    <comment ref="O144" authorId="32" shapeId="0" xr:uid="{8A761802-0E9F-4753-A941-AB674CAE97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Dachraum Beheizt oder unbeheizt?</t>
      </text>
    </comment>
    <comment ref="O156" authorId="33" shapeId="0" xr:uid="{F19446E3-9472-42AF-9695-E07C2E48381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Dachraum beheizt oder unbeheizt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tc={D298323B-0842-4798-B6F5-B9670EBDECAC}</author>
    <author>tc={17A849A9-7736-415B-BD62-3B621655E34B}</author>
    <author>tc={4FD089F5-DA67-46AD-AB27-A7C5B41ACA62}</author>
    <author>tc={E4AB48EE-C7C2-46D5-9EE0-D5C6E02D65D5}</author>
    <author>tc={D3ED9699-F8AE-4941-9680-34C8AE4CEDEE}</author>
    <author>tc={02E9F9EC-03EB-42CA-BB98-BB1EAC0EA9B5}</author>
    <author>tc={3A64674B-111D-4AE6-A986-0777B57A6982}</author>
    <author>tc={AC5F129D-C695-47B6-ADF2-6B37B522C546}</author>
    <author>tc={3338836B-5056-4179-9E12-FF4E80860E4C}</author>
    <author>tc={06B2C262-A460-4C26-9F80-FCDD37BBFC79}</author>
    <author>tc={A53139A9-E70A-4566-9FB1-0F66ABBEB1C0}</author>
    <author>tc={FC843BA4-FAC3-4A06-9BFE-C9257C1D96FE}</author>
    <author>tc={BE0DDB55-60A2-479C-80BF-0FE56EAF3F34}</author>
    <author>tc={CEFB2E77-7CA5-488B-AF58-0BE17A868CEF}</author>
    <author>tc={8654CF47-C1B6-4488-862B-EAD5EB418097}</author>
    <author>tc={EB47AEDF-257D-4B25-B745-56167A2322CA}</author>
    <author>tc={A1FC5D0F-7D52-4665-8A47-8F4E24A23F75}</author>
  </authors>
  <commentList>
    <comment ref="P3" authorId="0" shapeId="0" xr:uid="{D298323B-0842-4798-B6F5-B9670EBDEC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-evtl. Abfragen beheizt oder unbeheizt zur Ermittlung der Gebäudehülle
-Vergleich Nutzertool VZ</t>
      </text>
    </comment>
    <comment ref="AE3" authorId="1" shapeId="0" xr:uid="{17A849A9-7736-415B-BD62-3B621655E34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-aus den LOD Daten herausnehmen ob Flachdach oder Satteldach
-daraus ergibt sich die Konstruktion
-Flachdach = massiv
-Satteldach = Holz</t>
      </text>
    </comment>
    <comment ref="AM3" authorId="2" shapeId="0" xr:uid="{4FD089F5-DA67-46AD-AB27-A7C5B41AC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Z4" authorId="3" shapeId="0" xr:uid="{E4AB48EE-C7C2-46D5-9EE0-D5C6E02D65D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B6" authorId="4" shapeId="0" xr:uid="{D3ED9699-F8AE-4941-9680-34C8AE4CEDE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G6" authorId="5" shapeId="0" xr:uid="{02E9F9EC-03EB-42CA-BB98-BB1EAC0EA9B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-Schicht besteht aus Dämmung und Holzbalken
- Minderung des U-Werts der Schicht um 30% durch Holzbalken</t>
      </text>
    </comment>
    <comment ref="AE7" authorId="6" shapeId="0" xr:uid="{3A64674B-111D-4AE6-A986-0777B57A69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Flachdach</t>
      </text>
    </comment>
    <comment ref="AG7" authorId="7" shapeId="0" xr:uid="{AC5F129D-C695-47B6-ADF2-6B37B522C5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Entweder Zwischensparrendämmung oder Aufsparrendämmung</t>
      </text>
    </comment>
    <comment ref="AE8" authorId="8" shapeId="0" xr:uid="{3338836B-5056-4179-9E12-FF4E80860E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Satteldach</t>
      </text>
    </comment>
    <comment ref="AG8" authorId="9" shapeId="0" xr:uid="{06B2C262-A460-4C26-9F80-FCDD37BBFC7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 bei Aufdachdämmung (Flachdach)</t>
      </text>
    </comment>
    <comment ref="AO9" authorId="10" shapeId="0" xr:uid="{A53139A9-E70A-4566-9FB1-0F66ABBEB1C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Q9" authorId="11" shapeId="0" xr:uid="{FC843BA4-FAC3-4A06-9BFE-C9257C1D96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Minderung des U-Werts der Schicht um 1,30 durch Holzbalken</t>
      </text>
    </comment>
    <comment ref="AO10" authorId="12" shapeId="0" xr:uid="{BE0DDB55-60A2-479C-80BF-0FE56EAF3F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M11" authorId="13" shapeId="0" xr:uid="{CEFB2E77-7CA5-488B-AF58-0BE17A868CE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-Bemessungswert aus DIN EN ISO 10456</t>
      </text>
    </comment>
    <comment ref="AK13" authorId="14" shapeId="0" xr:uid="{8654CF47-C1B6-4488-862B-EAD5EB41809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Bestand U-Wert</t>
      </text>
    </comment>
    <comment ref="S17" authorId="15" shapeId="0" xr:uid="{EB47AEDF-257D-4B25-B745-56167A2322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U26" authorId="16" shapeId="0" xr:uid="{A1FC5D0F-7D52-4665-8A47-8F4E24A23F7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tc={E72D2769-08A9-473D-A6E8-1620A10EB2DD}</author>
    <author>tc={C5CFA34D-0196-4826-B119-FBD611EE325A}</author>
    <author>tc={C0FDDC62-E04F-47D6-BA3C-D62F9EF593AC}</author>
    <author>tc={27554741-04A5-4A07-A517-6CE6CE5AF26D}</author>
    <author>tc={8D6D3181-CD78-462A-A310-99D6BB21AE31}</author>
    <author>tc={EB3313BC-7945-41D4-9580-27348813102C}</author>
    <author>tc={9A12A69D-022B-4ED1-9197-785B82CBD58D}</author>
    <author>tc={C5668288-2C93-4732-BDF0-E0958A5F0ECC}</author>
  </authors>
  <commentList>
    <comment ref="AM3" authorId="0" shapeId="0" xr:uid="{E72D2769-08A9-473D-A6E8-1620A10EB2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Z4" authorId="1" shapeId="0" xr:uid="{C5CFA34D-0196-4826-B119-FBD611EE325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B6" authorId="2" shapeId="0" xr:uid="{C0FDDC62-E04F-47D6-BA3C-D62F9EF593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E6" authorId="3" shapeId="0" xr:uid="{27554741-04A5-4A07-A517-6CE6CE5AF26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 erforderlich
abgesegnet</t>
      </text>
    </comment>
    <comment ref="AK8" authorId="4" shapeId="0" xr:uid="{8D6D3181-CD78-462A-A310-99D6BB21AE3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O8" authorId="5" shapeId="0" xr:uid="{EB3313BC-7945-41D4-9580-2734881310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Festgelegt 0,032</t>
      </text>
    </comment>
    <comment ref="AO10" authorId="6" shapeId="0" xr:uid="{9A12A69D-022B-4ED1-9197-785B82CBD5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U19" authorId="7" shapeId="0" xr:uid="{C5668288-2C93-4732-BDF0-E0958A5F0EC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 Pohlmann</author>
    <author>tc={9A12A69D-022B-4ED2-9197-785B82CBD58D}</author>
    <author>tc={EB47AEDF-257D-4B26-B745-56167A2322CA}</author>
    <author>tc={686876FA-4AE4-4FEE-B03A-4660A3B6CEBE}</author>
  </authors>
  <commentList>
    <comment ref="AM3" authorId="0" shapeId="0" xr:uid="{2D777E07-300B-417C-BDA0-04440D39B2C1}">
      <text>
        <r>
          <rPr>
            <b/>
            <sz val="9"/>
            <color indexed="81"/>
            <rFont val="Segoe UI"/>
            <family val="2"/>
          </rPr>
          <t>Timo Pohlmann:</t>
        </r>
        <r>
          <rPr>
            <sz val="9"/>
            <color indexed="81"/>
            <rFont val="Segoe UI"/>
            <family val="2"/>
          </rPr>
          <t xml:space="preserve">
140/2 Geschosse
10*7=70m² Grundfläche
7+7+10+10= 34m Umfang
34m*2,45m Geschosshöhe nach BayBo= 83,30m²
83,30m²*2 Geschosse = 166,60m²</t>
        </r>
      </text>
    </comment>
    <comment ref="AO10" authorId="1" shapeId="0" xr:uid="{10B61E6F-3040-4322-8C19-E78ECA861A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M16" authorId="0" shapeId="0" xr:uid="{A8A9E9A3-0110-4451-BCC4-ED1857AC536D}">
      <text>
        <r>
          <rPr>
            <b/>
            <sz val="9"/>
            <color indexed="81"/>
            <rFont val="Segoe UI"/>
            <family val="2"/>
          </rPr>
          <t>Timo Pohlmann:</t>
        </r>
        <r>
          <rPr>
            <sz val="9"/>
            <color indexed="81"/>
            <rFont val="Segoe UI"/>
            <family val="2"/>
          </rPr>
          <t xml:space="preserve">
35% Fensterflächenanteil</t>
        </r>
      </text>
    </comment>
    <comment ref="S20" authorId="2" shapeId="0" xr:uid="{7F0943C3-195D-4322-8446-627ACCA1168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U27" authorId="3" shapeId="0" xr:uid="{686876FA-4AE4-4FEE-B03A-4660A3B6CE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tc={E72D2769-08A9-473E-A6E8-1620A10EB2DD}</author>
    <author>tc={C0FDDC62-E04F-47D7-BA3C-D62F9EF593AC}</author>
    <author>tc={D13F50FA-C866-45AA-9283-E271F912CEF7}</author>
    <author>tc={9A12A69D-022B-4ED3-9197-785B82CBD58D}</author>
    <author>tc={4A1684FC-8486-40DF-B950-535612B92DB4}</author>
  </authors>
  <commentList>
    <comment ref="AM3" authorId="0" shapeId="0" xr:uid="{594AC651-B66C-46EC-96B2-65500AD5C9C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B6" authorId="1" shapeId="0" xr:uid="{882E5AFD-1588-4430-AE6B-D7EA0BE6901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E8" authorId="2" shapeId="0" xr:uid="{D13F50FA-C866-45AA-9283-E271F912CEF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</t>
      </text>
    </comment>
    <comment ref="AO10" authorId="3" shapeId="0" xr:uid="{DE8BB9A0-8838-46C8-A3AA-B80AD331C8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U19" authorId="4" shapeId="0" xr:uid="{4A1684FC-8486-40DF-B950-535612B92DB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tc={1D326541-3F37-4996-851D-E2337A6E413E}</author>
    <author>tc={A851535F-39E5-4C46-A429-943D5E6A8B4D}</author>
    <author>tc={25CB9F68-43C2-414D-A6F3-87480F29859E}</author>
    <author>tc={65D32B68-F32A-4B4B-A440-1C8C7A316266}</author>
    <author>tc={78E17B51-38FE-4F46-A7DB-BAEF3D4CB0A8}</author>
    <author>tc={BDD163D8-E2F6-4ED3-BB6C-52C8B9CD9FD8}</author>
    <author>tc={A2766C54-C0CE-4496-8473-ADE3622320B7}</author>
    <author>tc={4C715B20-832D-4ED8-AB2D-F7D454C66E94}</author>
    <author>tc={B2094F6B-AF46-4D28-B411-CEFC3D9288E1}</author>
    <author>tc={74AE4D76-A303-43D5-8351-69DAC6877EFB}</author>
  </authors>
  <commentList>
    <comment ref="F5" authorId="0" shapeId="0" xr:uid="{1D326541-3F37-4996-851D-E2337A6E41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 Geschosse á 2,75m</t>
      </text>
    </comment>
    <comment ref="F30" authorId="1" shapeId="0" xr:uid="{A851535F-39E5-4C46-A429-943D5E6A8B4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Eingabe des Bsp. Gebäudes
</t>
      </text>
    </comment>
    <comment ref="J45" authorId="2" shapeId="0" xr:uid="{25CB9F68-43C2-414D-A6F3-87480F29859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24 h Faktor zur Umrechnung von Tagen in Stunden
/1000 Umrechnung von Wattstunden in Kilowattstunden
</t>
      </text>
    </comment>
    <comment ref="F46" authorId="3" shapeId="0" xr:uid="{65D32B68-F32A-4B4B-A440-1C8C7A31626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Langjähriges Mittel (20 Jahre) für Regensburg</t>
      </text>
    </comment>
    <comment ref="N49" authorId="4" shapeId="0" xr:uid="{78E17B51-38FE-4F46-A7DB-BAEF3D4CB0A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Randbedingungen nach DIN 18599-10 Seite 17</t>
      </text>
    </comment>
    <comment ref="F61" authorId="5" shapeId="0" xr:uid="{BDD163D8-E2F6-4ED3-BB6C-52C8B9CD9FD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Wohnfläche</t>
      </text>
    </comment>
    <comment ref="B66" authorId="6" shapeId="0" xr:uid="{A2766C54-C0CE-4496-8473-ADE3622320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monatl. Sondern jährliche Bilanzierung</t>
      </text>
    </comment>
    <comment ref="F67" authorId="7" shapeId="0" xr:uid="{4C715B20-832D-4ED8-AB2D-F7D454C66E9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Heizgradtage</t>
      </text>
    </comment>
    <comment ref="H67" authorId="8" shapeId="0" xr:uid="{B2094F6B-AF46-4D28-B411-CEFC3D9288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24 h Faktor zur Umrechnung von Tagen in Stunden
/1000 Umrechnung von Wattstunden in Kilowattstunden</t>
      </text>
    </comment>
    <comment ref="F69" authorId="9" shapeId="0" xr:uid="{74AE4D76-A303-43D5-8351-69DAC6877EF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Langjähriges Mittel (20 Jahre) für Regensburg</t>
      </text>
    </comment>
  </commentList>
</comments>
</file>

<file path=xl/sharedStrings.xml><?xml version="1.0" encoding="utf-8"?>
<sst xmlns="http://schemas.openxmlformats.org/spreadsheetml/2006/main" count="1837" uniqueCount="592">
  <si>
    <t>Datenstufe 1</t>
  </si>
  <si>
    <t>Datenstufe 2</t>
  </si>
  <si>
    <t>Datenstufe 3</t>
  </si>
  <si>
    <t>Energieträger</t>
  </si>
  <si>
    <t>Schichtaufbau (U-Wert über Bauteilalter + Dämmschichtdicke (WLG 040))</t>
  </si>
  <si>
    <t>5 x Nutzfläche x Länge der Heizperiode x 0,024 
(Länge der Heizperiode im Durchschnitt 185 Tage)</t>
  </si>
  <si>
    <t>Solare Gewinne</t>
  </si>
  <si>
    <t>Wärmebedarf</t>
  </si>
  <si>
    <t>Transmissionswärmeverlust + Lüftungswärmeverlust</t>
  </si>
  <si>
    <t>∑ (Korrekturfaktor x U-Wert x Bauteilfläche) + (Wärmebrückenzuschlag x Hüllfläche des Gebäudes)</t>
  </si>
  <si>
    <t>Gebäudevolumen x 0,32</t>
  </si>
  <si>
    <t>[Gradtagsfaktor x (Transmissionswärmeverlust + Lüftungswärmeverlust)] - [Nutzungsgrad interner Gewinne x (solare Gewinne + interne Gewinne)]</t>
  </si>
  <si>
    <r>
      <t>Transmissionswärmeverlust
H</t>
    </r>
    <r>
      <rPr>
        <vertAlign val="subscript"/>
        <sz val="11"/>
        <color theme="1"/>
        <rFont val="Aptos Narrow"/>
        <family val="2"/>
        <scheme val="minor"/>
      </rPr>
      <t>T</t>
    </r>
  </si>
  <si>
    <t>Absoluter Wert</t>
  </si>
  <si>
    <t>Flächenbezogen</t>
  </si>
  <si>
    <r>
      <t>spezifischer Transmissionswärmeverlust 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'</t>
    </r>
  </si>
  <si>
    <r>
      <t>Transmissionswärmeverlust H</t>
    </r>
    <r>
      <rPr>
        <vertAlign val="subscript"/>
        <sz val="11"/>
        <color theme="1"/>
        <rFont val="Aptos Narrow"/>
        <family val="2"/>
        <scheme val="minor"/>
      </rPr>
      <t xml:space="preserve">T </t>
    </r>
    <r>
      <rPr>
        <sz val="11"/>
        <color theme="1"/>
        <rFont val="Aptos Narrow"/>
        <family val="2"/>
        <scheme val="minor"/>
      </rPr>
      <t>/ thermische Hüllfläche</t>
    </r>
  </si>
  <si>
    <t>Erzeugerart</t>
  </si>
  <si>
    <t>Vorlauftemperatur</t>
  </si>
  <si>
    <t>Erzeugerleistung</t>
  </si>
  <si>
    <t>Umwälzpumpen</t>
  </si>
  <si>
    <t>Heizflächen</t>
  </si>
  <si>
    <r>
      <t>Lüftungswärmetransferkoeffizient
H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[W/K]</t>
    </r>
  </si>
  <si>
    <t>Kleinbuchstaben beziehen sich auf m² / Großbuchstaben beziehen sich auf den Jahreswert</t>
  </si>
  <si>
    <t>Öl-Heizung</t>
  </si>
  <si>
    <t>Standardkessel</t>
  </si>
  <si>
    <t>Niedertemperaturkessel</t>
  </si>
  <si>
    <t>Gas-Heizung</t>
  </si>
  <si>
    <t>Brennwertkessel</t>
  </si>
  <si>
    <t>Biomasseheizung</t>
  </si>
  <si>
    <t>Pellet</t>
  </si>
  <si>
    <t>Hackschnitzel</t>
  </si>
  <si>
    <t>Wärmepumpe</t>
  </si>
  <si>
    <t>Luft-Wasser</t>
  </si>
  <si>
    <t>Luft-Luft</t>
  </si>
  <si>
    <t>Wasser-Wasser</t>
  </si>
  <si>
    <t>Sole-Wasser</t>
  </si>
  <si>
    <t>Baujahr</t>
  </si>
  <si>
    <t>Außentemperatur unter einer festgelegten Heizgrenztemperatur (regional) (Bsp.: dena-Energiepass)</t>
  </si>
  <si>
    <t>Gradtagszahl x Faktor 0,024</t>
  </si>
  <si>
    <t>Gradtagsfaktor
kKh</t>
  </si>
  <si>
    <t>Gradtagszahl Kd/a</t>
  </si>
  <si>
    <r>
      <t>Nutzfläche A</t>
    </r>
    <r>
      <rPr>
        <vertAlign val="subscript"/>
        <sz val="11"/>
        <color theme="1"/>
        <rFont val="Aptos Narrow"/>
        <family val="2"/>
        <scheme val="minor"/>
      </rPr>
      <t>NG</t>
    </r>
  </si>
  <si>
    <t>Jahres-Heizwärmebedarf 
kWh/a</t>
  </si>
  <si>
    <t>∑ (Einstrahlung x Energiedurchlassgrad der Fenster x Fläche X Korrekturfaktoren) pro Himmelsrichtung</t>
  </si>
  <si>
    <t>Interne Wärmegewinne W/m²</t>
  </si>
  <si>
    <t>Durchschnittswerte für die Raumheizung und Warmwasserbereitung (ohne Hilfsenergie)</t>
  </si>
  <si>
    <t>0,34 x Luftwechselrate x beheiztes Luftvolumen
(Luftwechselrate aus DIN 18599 Tabelle 12 - 14)</t>
  </si>
  <si>
    <t>Bestandsanalyse</t>
  </si>
  <si>
    <t>Weiterberechnung der für den Nutzer relevante Ergebnisse</t>
  </si>
  <si>
    <t>Erzeugerwirkungsgrad</t>
  </si>
  <si>
    <t>Primärenergiefaktor</t>
  </si>
  <si>
    <t>Brennstoffverbrauch</t>
  </si>
  <si>
    <t>spez. Brennstoffkosten</t>
  </si>
  <si>
    <t>Erzeugerart über Gebäudealter</t>
  </si>
  <si>
    <t>Gebietszuodnung</t>
  </si>
  <si>
    <t>Qw,b [kWh/a]</t>
  </si>
  <si>
    <t>Warmwasserbereitung</t>
  </si>
  <si>
    <t>Wärmeenergiebedarf</t>
  </si>
  <si>
    <t>[kWh/a]</t>
  </si>
  <si>
    <t>Heizwärmebedarf</t>
  </si>
  <si>
    <t>Dach</t>
  </si>
  <si>
    <t>[m²]</t>
  </si>
  <si>
    <t>U-Wert</t>
  </si>
  <si>
    <t>[W/m²K]</t>
  </si>
  <si>
    <t>OGD</t>
  </si>
  <si>
    <t>AW</t>
  </si>
  <si>
    <t>Fenster/ Türen</t>
  </si>
  <si>
    <t>UGD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</si>
  <si>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[W/K]</t>
    </r>
  </si>
  <si>
    <t>[m³]</t>
  </si>
  <si>
    <t xml:space="preserve">[kWh/a] oder </t>
  </si>
  <si>
    <t>[kWh/(m²a)]</t>
  </si>
  <si>
    <t xml:space="preserve">Aufwandszahl e </t>
  </si>
  <si>
    <t>Endenergiebedarf</t>
  </si>
  <si>
    <t>qp [kWh/a] oder Qp</t>
  </si>
  <si>
    <t>Primärenergiebedarf</t>
  </si>
  <si>
    <t>Emissionen [t/a]</t>
  </si>
  <si>
    <r>
      <t>äquivalente CO</t>
    </r>
    <r>
      <rPr>
        <vertAlign val="subscript"/>
        <sz val="11"/>
        <color theme="1"/>
        <rFont val="Aptos Narrow"/>
        <family val="2"/>
        <scheme val="minor"/>
      </rPr>
      <t>2</t>
    </r>
  </si>
  <si>
    <t>Endenergie</t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</si>
  <si>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[kWh/a]</t>
    </r>
  </si>
  <si>
    <t xml:space="preserve">Luftdichtheit Kat. III Bestand </t>
  </si>
  <si>
    <t>ohne offensichtliche Undichtheit</t>
  </si>
  <si>
    <r>
      <t>Endenergie-Aufwandszahl e</t>
    </r>
    <r>
      <rPr>
        <vertAlign val="subscript"/>
        <sz val="11"/>
        <color theme="1"/>
        <rFont val="Aptos Narrow"/>
        <family val="2"/>
        <scheme val="minor"/>
      </rPr>
      <t xml:space="preserve"> th,ges</t>
    </r>
  </si>
  <si>
    <t>absolute Brennstoffkosten</t>
  </si>
  <si>
    <t>Sanierungsempfehlung Gebäudehülle</t>
  </si>
  <si>
    <t>gewünschter Ziel U-Wert</t>
  </si>
  <si>
    <t>Dachsanierung gewünscht (Deckung nicht mehr Stand der Technik)</t>
  </si>
  <si>
    <t>Wunsch Art der Sanierung (Zwischensparren, Aufsparren oder beides)</t>
  </si>
  <si>
    <t>(Bestand)</t>
  </si>
  <si>
    <t>(Sanierungsmaßnahme)</t>
  </si>
  <si>
    <t>Bestandsannahme</t>
  </si>
  <si>
    <t>Wunsch Art der Sanierung</t>
  </si>
  <si>
    <t>(gemäß BEG EM)</t>
  </si>
  <si>
    <t>Keine Eingabe</t>
  </si>
  <si>
    <t>Ausführung Dämmung über Baujahr</t>
  </si>
  <si>
    <t>(&lt;20 Jahre Bewertung als neues Dach)</t>
  </si>
  <si>
    <t>(20-60 Jahre Bewertung als sanierungsbedüftig)</t>
  </si>
  <si>
    <t>(&gt;60 Jahre Bewertung als schon 1x saniert)</t>
  </si>
  <si>
    <t>Annahme Standardwärmedämmung</t>
  </si>
  <si>
    <t>Komplettsanierungsempfehlung über geschätztes Baujahr nach Gebiet</t>
  </si>
  <si>
    <t>Dachsanierung (Ja/Nein)</t>
  </si>
  <si>
    <t>Zeitpunkt der Dachsanierung</t>
  </si>
  <si>
    <t>aus Datenstufe 3 Bestandsaufnahme</t>
  </si>
  <si>
    <t>Gebäude Allgemein</t>
  </si>
  <si>
    <t>Bewohner</t>
  </si>
  <si>
    <t>keine</t>
  </si>
  <si>
    <t>Nutzereingaben</t>
  </si>
  <si>
    <t>Sanierungszustand</t>
  </si>
  <si>
    <t>Alter des Bauteils</t>
  </si>
  <si>
    <t>Dämmung vorhanden</t>
  </si>
  <si>
    <t>Dämmschichtdicke</t>
  </si>
  <si>
    <t>U-Wert Bestand</t>
  </si>
  <si>
    <t>ggf. mit Link zu einem U-Wertrechenr</t>
  </si>
  <si>
    <t>Wärmeleitgruppe</t>
  </si>
  <si>
    <t>Eingabe</t>
  </si>
  <si>
    <t>U-Wert [W/m²K]</t>
  </si>
  <si>
    <t>Außenwand</t>
  </si>
  <si>
    <t>Oberste Geschossdecke (OGD)</t>
  </si>
  <si>
    <t>Fenster/Türen</t>
  </si>
  <si>
    <t>Unterste Geschossdecek (UGD)</t>
  </si>
  <si>
    <t>(schlecht mittel gut)</t>
  </si>
  <si>
    <t>Nutzereingabe der Fläche</t>
  </si>
  <si>
    <t>Berechnung U-Wert über Nutzereingabe der Bauteilschichten</t>
  </si>
  <si>
    <t>Fläche (Hüllflächenanteil)</t>
  </si>
  <si>
    <t>U-Wert gemäß BEG EM</t>
  </si>
  <si>
    <t>Bauteil</t>
  </si>
  <si>
    <t>Konstruktion</t>
  </si>
  <si>
    <t>Dachform</t>
  </si>
  <si>
    <t>bis 
1918</t>
  </si>
  <si>
    <t>1919
bis
1948</t>
  </si>
  <si>
    <t>1949
bis
1957</t>
  </si>
  <si>
    <t>1958
bis
1968</t>
  </si>
  <si>
    <t>1969
bis
1978</t>
  </si>
  <si>
    <t>1979
bis
1983</t>
  </si>
  <si>
    <t>1984
bis
1994</t>
  </si>
  <si>
    <t>1995
bis
2001</t>
  </si>
  <si>
    <t>Pauschalwerte für den Wärmedurchgangskoeffizienten in W/(m²*K)</t>
  </si>
  <si>
    <t>Baualtersklassen</t>
  </si>
  <si>
    <t>Massive Konstruktion</t>
  </si>
  <si>
    <t>Holzkonstruktion</t>
  </si>
  <si>
    <t>Oberste Geschossdecke</t>
  </si>
  <si>
    <t>Massive Decke</t>
  </si>
  <si>
    <t>Holzbalkendecke</t>
  </si>
  <si>
    <t>Außenwand 
massive Konstruktion</t>
  </si>
  <si>
    <t>Zweischalige Wandaufbauten</t>
  </si>
  <si>
    <t>Zweischalige Wand- 
aufbauten mit Dämmung</t>
  </si>
  <si>
    <t>keine
Angabe</t>
  </si>
  <si>
    <t>Massivwand aus Vollziegel
bis 20cm Wandstärke</t>
  </si>
  <si>
    <t>Wie vorstehend, jedoch
20 bis 30cm Wandstärke</t>
  </si>
  <si>
    <t>Massivwand aus Hochlochziegel</t>
  </si>
  <si>
    <t>Sonstige massive Wandaufbauten bis 20cm Wandstärke</t>
  </si>
  <si>
    <t>Sonstige Wandaufbauten über 20cm Wandstärke</t>
  </si>
  <si>
    <t>Außenwand Holzkonstruktion (Fachwerk, Fertighaus)</t>
  </si>
  <si>
    <t>Massivholzwand, Holzrahmen oder Holztafelwand</t>
  </si>
  <si>
    <t>Sonstige Holzkonstruktion</t>
  </si>
  <si>
    <t>Sonstige Bauteile gg. Erdreich oder unbeheizte Räume</t>
  </si>
  <si>
    <t>Kellerdecke 
Stahlbeton massiv</t>
  </si>
  <si>
    <t>Kellerdecke 
als Holzbalkendecke</t>
  </si>
  <si>
    <t>Boden gegen Erdreich,
Stahlbeton massiv</t>
  </si>
  <si>
    <t>Türen</t>
  </si>
  <si>
    <t>Im Wesentlichen aus Metall</t>
  </si>
  <si>
    <t>Im Wesentlichen aus Holz, Holzwerkstoffen oder Kunststoff</t>
  </si>
  <si>
    <t>ab 
2002</t>
  </si>
  <si>
    <t>bis
1978</t>
  </si>
  <si>
    <t>Baualtersklasse</t>
  </si>
  <si>
    <t>Eigen-
schaft</t>
  </si>
  <si>
    <t>Fenster, Fenstertüren</t>
  </si>
  <si>
    <t>Holzfenster, einfach verglast</t>
  </si>
  <si>
    <r>
      <t>U</t>
    </r>
    <r>
      <rPr>
        <vertAlign val="subscript"/>
        <sz val="11"/>
        <color theme="1"/>
        <rFont val="Aptos Narrow"/>
        <family val="2"/>
        <scheme val="minor"/>
      </rPr>
      <t>W</t>
    </r>
  </si>
  <si>
    <t>Glas</t>
  </si>
  <si>
    <t>einfach</t>
  </si>
  <si>
    <t>Holzfenster, zwei Scheiben</t>
  </si>
  <si>
    <t>zweifach</t>
  </si>
  <si>
    <t>MSIV 2</t>
  </si>
  <si>
    <t>MSIV 2 = Mehrscheibenisolierverglasung</t>
  </si>
  <si>
    <t>Kunststofffenster, Isolierverglasung</t>
  </si>
  <si>
    <t>Aluminium- oder Stahlfenster, 
Isolierverglasung</t>
  </si>
  <si>
    <t>Endenergie-Aufwandszahl</t>
  </si>
  <si>
    <t>Standardkessel (auch Holzkessel)</t>
  </si>
  <si>
    <t>Baualter</t>
  </si>
  <si>
    <t>bis 1986</t>
  </si>
  <si>
    <t>1987 - 1994</t>
  </si>
  <si>
    <t>ab 1995</t>
  </si>
  <si>
    <t>Aufwandszahl e</t>
  </si>
  <si>
    <t>Niedertemperaturkessel
Öl / Gas</t>
  </si>
  <si>
    <t>ab 1987</t>
  </si>
  <si>
    <t>Gas-Brennwert</t>
  </si>
  <si>
    <t>-</t>
  </si>
  <si>
    <t>Elektrowärmepumpe
Erdreich</t>
  </si>
  <si>
    <t>bis 1994</t>
  </si>
  <si>
    <t>Elektrowärmepumpe Luft</t>
  </si>
  <si>
    <t>Einflussparameter</t>
  </si>
  <si>
    <r>
      <t xml:space="preserve">Tabelle 22 - Aufwandszahl für bauteilintegrierten Heizflächen (Flächenheizungen); lichte Raumhöhe </t>
    </r>
    <r>
      <rPr>
        <b/>
        <sz val="12"/>
        <color theme="1"/>
        <rFont val="Aptos Narrow"/>
        <family val="2"/>
      </rPr>
      <t>≤ 4m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</si>
  <si>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h,ce,0</t>
    </r>
  </si>
  <si>
    <t>ungeregelt, mit zentraler Zulauftemperaturregelung</t>
  </si>
  <si>
    <t>Führungsraumregelung- oder Ein-Rohr-Heizung</t>
  </si>
  <si>
    <t>Raumtemperaturregelung (elektromechanisch/elektronisch)</t>
  </si>
  <si>
    <t>P-Regler (vor 1988)</t>
  </si>
  <si>
    <r>
      <t>PI-Regler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</si>
  <si>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PID-Regler (mit Optimierungsfunktion, z.B. Anwesenheits-
management, adaptivem Regler)</t>
    </r>
    <r>
      <rPr>
        <vertAlign val="superscript"/>
        <sz val="11"/>
        <color theme="1"/>
        <rFont val="Aptos Narrow"/>
        <family val="2"/>
        <scheme val="minor"/>
      </rPr>
      <t>a</t>
    </r>
  </si>
  <si>
    <t>Raumtemperaturregelung</t>
  </si>
  <si>
    <r>
      <t>Zu- / Abschlag auf Aufwandszahl e</t>
    </r>
    <r>
      <rPr>
        <vertAlign val="subscript"/>
        <sz val="11"/>
        <color theme="1"/>
        <rFont val="Aptos Narrow"/>
        <family val="2"/>
        <scheme val="minor"/>
      </rPr>
      <t>h,ce,0</t>
    </r>
  </si>
  <si>
    <r>
      <t>∆e</t>
    </r>
    <r>
      <rPr>
        <vertAlign val="subscript"/>
        <sz val="11"/>
        <color theme="1"/>
        <rFont val="Aptos Narrow"/>
        <family val="2"/>
      </rPr>
      <t>h,ce,1</t>
    </r>
  </si>
  <si>
    <t>Fußbodenheizung</t>
  </si>
  <si>
    <r>
      <t xml:space="preserve">  </t>
    </r>
    <r>
      <rPr>
        <sz val="11"/>
        <color theme="1"/>
        <rFont val="Aptos Narrow"/>
        <family val="2"/>
        <scheme val="minor"/>
      </rPr>
      <t>Nasssystem</t>
    </r>
  </si>
  <si>
    <r>
      <t xml:space="preserve">  </t>
    </r>
    <r>
      <rPr>
        <sz val="11"/>
        <color theme="1"/>
        <rFont val="Aptos Narrow"/>
        <family val="2"/>
        <scheme val="minor"/>
      </rPr>
      <t>Trockensystem</t>
    </r>
  </si>
  <si>
    <r>
      <t xml:space="preserve">  </t>
    </r>
    <r>
      <rPr>
        <sz val="11"/>
        <color theme="1"/>
        <rFont val="Aptos Narrow"/>
        <family val="2"/>
        <scheme val="minor"/>
      </rPr>
      <t>System mit niedriger Bedeckung</t>
    </r>
  </si>
  <si>
    <t>Wandheizung</t>
  </si>
  <si>
    <t>Deckenheizung</t>
  </si>
  <si>
    <t>Heizungsanlage in Verbindung mit mechanischer Lüftung</t>
  </si>
  <si>
    <t>System</t>
  </si>
  <si>
    <r>
      <t>∆e</t>
    </r>
    <r>
      <rPr>
        <vertAlign val="subscript"/>
        <sz val="11"/>
        <color theme="1"/>
        <rFont val="Aptos Narrow"/>
        <family val="2"/>
        <scheme val="minor"/>
      </rPr>
      <t>h,ce,2</t>
    </r>
  </si>
  <si>
    <t>integrierte Heizfläche ohne Mindestdämmung nach 
DIN EN 1264 (alle Teile)</t>
  </si>
  <si>
    <t>integrierte Heizfläche mit Mindestdämmung nach 
DIN EN 1264 (alle Teile)</t>
  </si>
  <si>
    <t>integrierte Heizfläche einer 100% besseren Dämmung als nach DIN EN 1264 (alle Teile) gefordert</t>
  </si>
  <si>
    <t>spezifische Wärmeverlust
übe angrenzende Flächen</t>
  </si>
  <si>
    <t>Aufwandszahl für freie Heizflächen - Raumhöhe ≤ 4m</t>
  </si>
  <si>
    <r>
      <t>P-Regler</t>
    </r>
    <r>
      <rPr>
        <vertAlign val="superscript"/>
        <sz val="11"/>
        <color theme="1"/>
        <rFont val="Aptos Narrow"/>
        <family val="2"/>
        <scheme val="minor"/>
      </rPr>
      <t>a</t>
    </r>
  </si>
  <si>
    <t>Zwei-Rohr-Heizung und Ein-Rohr-Heizung, erneuert</t>
  </si>
  <si>
    <t>60K (z.B. 90°C / 70°C)</t>
  </si>
  <si>
    <r>
      <t xml:space="preserve">P-Regler, 2-Punkt-Regler (Hysterese </t>
    </r>
    <r>
      <rPr>
        <sz val="11"/>
        <color theme="1"/>
        <rFont val="Aptos Narrow"/>
        <family val="2"/>
      </rPr>
      <t xml:space="preserve">≤ </t>
    </r>
    <r>
      <rPr>
        <sz val="12.65"/>
        <color theme="1"/>
        <rFont val="Aptos Narrow"/>
        <family val="2"/>
      </rPr>
      <t>0,5K</t>
    </r>
  </si>
  <si>
    <t>42,5K (z.B. 70°C / 55°C)</t>
  </si>
  <si>
    <t>30K (z.B. 55°C / 45°C)</t>
  </si>
  <si>
    <t>20K (z.B. 45°C / 35°C)</t>
  </si>
  <si>
    <t>Ein-Rohr-Heizung (nicht erneuert)</t>
  </si>
  <si>
    <t>Radiatoren mit Gebläse</t>
  </si>
  <si>
    <t>Übertemperatur</t>
  </si>
  <si>
    <r>
      <t>∆e</t>
    </r>
    <r>
      <rPr>
        <vertAlign val="subscript"/>
        <sz val="11"/>
        <color theme="1"/>
        <rFont val="Aptos Narrow"/>
        <family val="2"/>
      </rPr>
      <t>h,ce,2</t>
    </r>
  </si>
  <si>
    <t>Radiatorenposition Innenwand</t>
  </si>
  <si>
    <t>Radiatorenposition Außenwand</t>
  </si>
  <si>
    <r>
      <t xml:space="preserve">  </t>
    </r>
    <r>
      <rPr>
        <sz val="11"/>
        <color theme="1"/>
        <rFont val="Aptos Narrow"/>
        <family val="2"/>
        <scheme val="minor"/>
      </rPr>
      <t>Glasfläche ohne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</si>
  <si>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Glasfläche mit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</si>
  <si>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Außenwand</t>
    </r>
  </si>
  <si>
    <t>spezifische Wärmeverlust 
über Außenbauteile
(GF = Glasfläche)</t>
  </si>
  <si>
    <r>
      <t>∆e</t>
    </r>
    <r>
      <rPr>
        <vertAlign val="subscript"/>
        <sz val="11"/>
        <color theme="1"/>
        <rFont val="Aptos Narrow"/>
        <family val="2"/>
      </rPr>
      <t>h,ce,3</t>
    </r>
  </si>
  <si>
    <r>
      <t>∆e</t>
    </r>
    <r>
      <rPr>
        <vertAlign val="subscript"/>
        <sz val="11"/>
        <color theme="1"/>
        <rFont val="Aptos Narrow"/>
        <family val="2"/>
      </rPr>
      <t>h,ce,4</t>
    </r>
  </si>
  <si>
    <r>
      <t>∆e</t>
    </r>
    <r>
      <rPr>
        <vertAlign val="subscript"/>
        <sz val="11"/>
        <color theme="1"/>
        <rFont val="Aptos Narrow"/>
        <family val="2"/>
      </rPr>
      <t>h,ce,5</t>
    </r>
  </si>
  <si>
    <r>
      <t>intermittierender Betrieb</t>
    </r>
    <r>
      <rPr>
        <vertAlign val="superscript"/>
        <sz val="11"/>
        <color theme="1"/>
        <rFont val="Aptos Narrow"/>
        <family val="2"/>
        <scheme val="minor"/>
      </rPr>
      <t>b</t>
    </r>
  </si>
  <si>
    <t>Regler</t>
  </si>
  <si>
    <t>Heizkörper</t>
  </si>
  <si>
    <t>erhöhte Strahlung</t>
  </si>
  <si>
    <t>eigenständig</t>
  </si>
  <si>
    <t>eigenständig mit selbstständiger Start/Stopp-Anpassung</t>
  </si>
  <si>
    <t>Netzwerkbetrieb mit selbstständiger Anpassung und Interaktion</t>
  </si>
  <si>
    <t>Einzelraumregelsystem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</si>
  <si>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' [W/m²K]</t>
    </r>
  </si>
  <si>
    <t>Fläche A [m²]</t>
  </si>
  <si>
    <t>*</t>
  </si>
  <si>
    <t>∑R (Dicke [m]</t>
  </si>
  <si>
    <t>/</t>
  </si>
  <si>
    <t>Zwischensparren Dicke</t>
  </si>
  <si>
    <t>[m]</t>
  </si>
  <si>
    <t xml:space="preserve">Festgelegt WLG </t>
  </si>
  <si>
    <t>Festgelegt WLG</t>
  </si>
  <si>
    <t>+</t>
  </si>
  <si>
    <t>U</t>
  </si>
  <si>
    <t>=</t>
  </si>
  <si>
    <t>A</t>
  </si>
  <si>
    <t>F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</si>
  <si>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</si>
  <si>
    <t xml:space="preserve">Beispiel: </t>
  </si>
  <si>
    <t>Baujahr Grunddaten
Vorgabe DIN 4108 ohne Berechnung oder Gleichwertigkeitsnachweis</t>
  </si>
  <si>
    <t>pauschal</t>
  </si>
  <si>
    <r>
      <t>∑H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</si>
  <si>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∆U</t>
    </r>
    <r>
      <rPr>
        <vertAlign val="subscript"/>
        <sz val="11"/>
        <color theme="1"/>
        <rFont val="Aptos Narrow"/>
        <family val="2"/>
        <scheme val="minor"/>
      </rPr>
      <t>WB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</si>
  <si>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ges</t>
    </r>
  </si>
  <si>
    <t xml:space="preserve">umfassungsflächenbezogener 
Transmissionswärmeverlust 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</si>
  <si>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</si>
  <si>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' </t>
    </r>
  </si>
  <si>
    <t>Dachfenster</t>
  </si>
  <si>
    <t>Angabe des U-Werts über Nutzereingabe</t>
  </si>
  <si>
    <t>Dachfläche - Dachfensterfläche:</t>
  </si>
  <si>
    <t>A =</t>
  </si>
  <si>
    <t>2002
bis
2006</t>
  </si>
  <si>
    <t>Quelle: Bundesanzeiger - Bekanntmachung der Regeln zur Datenaufnahme und Datenverwendung im Wohngebäudebestand vom 08. Oktober 2020</t>
  </si>
  <si>
    <t>Tabelle 2: Pauschalwerte für den Wärmedurchgangskoeffizienten</t>
  </si>
  <si>
    <t>Tabelle: Wärmeübergangswiderstände (R-Werte Rsi und Rse) für an Außenluft grenzende Räume</t>
  </si>
  <si>
    <r>
      <t>R</t>
    </r>
    <r>
      <rPr>
        <vertAlign val="subscript"/>
        <sz val="11"/>
        <color theme="1"/>
        <rFont val="Aptos Narrow"/>
        <family val="2"/>
        <scheme val="minor"/>
      </rPr>
      <t>si</t>
    </r>
  </si>
  <si>
    <t>Wärmeübergangswiderstand</t>
  </si>
  <si>
    <t>aufwärts</t>
  </si>
  <si>
    <t>horizontal</t>
  </si>
  <si>
    <t>abwärts</t>
  </si>
  <si>
    <r>
      <t>R</t>
    </r>
    <r>
      <rPr>
        <vertAlign val="subscript"/>
        <sz val="11"/>
        <color theme="1"/>
        <rFont val="Aptos Narrow"/>
        <family val="2"/>
        <scheme val="minor"/>
      </rPr>
      <t>se</t>
    </r>
  </si>
  <si>
    <t>Rsi</t>
  </si>
  <si>
    <t>Rse</t>
  </si>
  <si>
    <t>Rse)</t>
  </si>
  <si>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scheme val="minor"/>
      </rPr>
      <t xml:space="preserve"> [W/mK])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</si>
  <si>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)</t>
    </r>
  </si>
  <si>
    <t>Minderungsfaktor</t>
  </si>
  <si>
    <r>
      <rPr>
        <sz val="11"/>
        <color theme="1"/>
        <rFont val="Aptos Narrow"/>
        <family val="2"/>
      </rPr>
      <t>(</t>
    </r>
    <r>
      <rPr>
        <sz val="11"/>
        <color theme="1"/>
        <rFont val="Aptos Narrow"/>
        <family val="2"/>
        <scheme val="minor"/>
      </rPr>
      <t>1</t>
    </r>
  </si>
  <si>
    <t>Dachfenster saniert</t>
  </si>
  <si>
    <t>Fenstertausch über geschätztes Baujahr nach Gebiet</t>
  </si>
  <si>
    <t>Fenstertausch über Baujahr nach Nutzer</t>
  </si>
  <si>
    <t>Dachfenstertausch (Ja/Nein)</t>
  </si>
  <si>
    <t>Dachfenstertausch über geschätztes Baujahr nach Gebiet</t>
  </si>
  <si>
    <t>Dachfenstertausch über Baujahr nach Nutzer</t>
  </si>
  <si>
    <t>Dachfenstertausch gewünscht</t>
  </si>
  <si>
    <t>Zeitpunkt des Dachfenstertausches</t>
  </si>
  <si>
    <t>(&lt;10 Jahre Bewertung als neue Fenster)</t>
  </si>
  <si>
    <t>Dach saniert (beheizt)</t>
  </si>
  <si>
    <t>OGD saniert (unbeheiztes Dach)</t>
  </si>
  <si>
    <t>Komplettsanierungsempfehlung über Baujahr nach Nutzer</t>
  </si>
  <si>
    <t>Sanierungsempfehlung über geschätztes Baujahr nach Gebiet</t>
  </si>
  <si>
    <t>Sanierungsempfehlung über Baujahr nach Nutzer</t>
  </si>
  <si>
    <t>OGD Sanierung gewünscht</t>
  </si>
  <si>
    <t>(&lt;20 Jahre Bewertung als neue OGD)</t>
  </si>
  <si>
    <t>OGD Sanierung (Ja/Nein)</t>
  </si>
  <si>
    <t>Zeitpunkt der OGD Sanierung</t>
  </si>
  <si>
    <t>AW saniert</t>
  </si>
  <si>
    <t>Platzhalter für Kosten</t>
  </si>
  <si>
    <t>(10-20 Jahre Bewertung als neuere Fenster)</t>
  </si>
  <si>
    <t>(20-60 Jahre Bewertung als sanierungsbedürftig)</t>
  </si>
  <si>
    <t>AW Sanierung gewünscht</t>
  </si>
  <si>
    <t>AW-Sanierung (Ja/Nein)</t>
  </si>
  <si>
    <t>(&lt;40 Jahre Bewertung als gedämmte Fassade)</t>
  </si>
  <si>
    <t>(&gt;40 Jahre Bewertung als ungedämmte Fassade)</t>
  </si>
  <si>
    <t>Zeitpunkt der AW Sanierung</t>
  </si>
  <si>
    <t>Fenster saniert</t>
  </si>
  <si>
    <t>Fenstertausch (Ja/Nein)</t>
  </si>
  <si>
    <t>Zeitpunkt des Fenstertausches</t>
  </si>
  <si>
    <t>UGD saniert</t>
  </si>
  <si>
    <t>UGD Sanierung gewünscht</t>
  </si>
  <si>
    <t>(&lt;40 Jahre Bewertung als gedämmte untere Geschossdecke)</t>
  </si>
  <si>
    <t>(&gt;40 Jahre Bewertung als gedämmte untere Geschossdecke)</t>
  </si>
  <si>
    <t>UGD-Sanierung (Ja/Nein)</t>
  </si>
  <si>
    <t>Zeitpunkt der UGD Sanierung</t>
  </si>
  <si>
    <t>EPS/XPS-Dämmung WLG 035</t>
  </si>
  <si>
    <t>Aufdachdämmung  Dicke</t>
  </si>
  <si>
    <r>
      <t>(R</t>
    </r>
    <r>
      <rPr>
        <vertAlign val="subscript"/>
        <sz val="11"/>
        <color theme="1"/>
        <rFont val="Aptos Narrow"/>
        <family val="2"/>
        <scheme val="minor"/>
      </rPr>
      <t>T,Zwischensparren</t>
    </r>
    <r>
      <rPr>
        <sz val="11"/>
        <color theme="1"/>
        <rFont val="Aptos Narrow"/>
        <family val="2"/>
        <scheme val="minor"/>
      </rPr>
      <t xml:space="preserve">  </t>
    </r>
  </si>
  <si>
    <r>
      <t xml:space="preserve"> R</t>
    </r>
    <r>
      <rPr>
        <vertAlign val="subscript"/>
        <sz val="11"/>
        <color theme="1"/>
        <rFont val="Aptos Narrow"/>
        <family val="2"/>
        <scheme val="minor"/>
      </rPr>
      <t>T,Aufsparren</t>
    </r>
  </si>
  <si>
    <t>Dropdown-Menü
entweder oder</t>
  </si>
  <si>
    <t>kein Korrekturfaktor</t>
  </si>
  <si>
    <t>EPS-Dämmung WLG 035</t>
  </si>
  <si>
    <t>Flachdach</t>
  </si>
  <si>
    <t>Satteldach</t>
  </si>
  <si>
    <t>Öl</t>
  </si>
  <si>
    <t>Strom</t>
  </si>
  <si>
    <t>Fernwärme</t>
  </si>
  <si>
    <t>Luft-Wasser Wärmepumpe</t>
  </si>
  <si>
    <t>Wasser-Wasser Wärmepumpe</t>
  </si>
  <si>
    <t>Heizflächenart</t>
  </si>
  <si>
    <t>Einzelöfen</t>
  </si>
  <si>
    <t>Fernwärmeanschluss möglich</t>
  </si>
  <si>
    <t>Gasanschluss vorhanden</t>
  </si>
  <si>
    <t>Heizungssystem - Bestand</t>
  </si>
  <si>
    <t>Photovoltaik-Anlage vorhanden</t>
  </si>
  <si>
    <t>Jahresverbrauch Wertermittlung (kWh)</t>
  </si>
  <si>
    <t>Glasart (Einfach; Zweifach; Dreifach)</t>
  </si>
  <si>
    <r>
      <t>Wärmebrückenzuschlag
∆U</t>
    </r>
    <r>
      <rPr>
        <vertAlign val="subscript"/>
        <sz val="11"/>
        <rFont val="Aptos Narrow"/>
        <family val="2"/>
        <scheme val="minor"/>
      </rPr>
      <t>WB</t>
    </r>
    <r>
      <rPr>
        <sz val="11"/>
        <rFont val="Aptos Narrow"/>
        <family val="2"/>
        <scheme val="minor"/>
      </rPr>
      <t xml:space="preserve"> [W/m²K]</t>
    </r>
  </si>
  <si>
    <t>Stahlbetondecke 25cm mit R-Wert 0,11</t>
  </si>
  <si>
    <t>(&gt; 40 Jahre)</t>
  </si>
  <si>
    <t>(&lt; 40 Jahre)</t>
  </si>
  <si>
    <t>keine Empfehlung</t>
  </si>
  <si>
    <t>Komplettsanierung</t>
  </si>
  <si>
    <t>Dachfenstertausch über geschätztes Baujahr nach Gebiet oder Nutzereingabe</t>
  </si>
  <si>
    <t>(&lt;30 Jahre Bewertung als neueres Fenster)</t>
  </si>
  <si>
    <t>(&gt;30 Jahre Bewertung als sanierungsbedürftig)</t>
  </si>
  <si>
    <t>Dachfenstertausch</t>
  </si>
  <si>
    <t>Sanierungswunsch Ja / Nein
Standard-Kunststoffrahmen- oder Holzrahmenfenster
U-Wert gemäß BEG EM 1,00 [W/m²K]</t>
  </si>
  <si>
    <t>Abfrage:
Standard-Kunststoffrahmen- oder Holzrahmenfenster
U-Wert gemäß BEG EM 1,00 [W/m²K]</t>
  </si>
  <si>
    <t>Baujahr über LOD oder Alterseingabe (gemäß Kat.1 U-Wert)</t>
  </si>
  <si>
    <t>Außenwandfläche - Fensterfläche:</t>
  </si>
  <si>
    <t xml:space="preserve">Baujahr über LOD oder Alterseingabe (U-Wert gemäß Kat. 1) </t>
  </si>
  <si>
    <t xml:space="preserve">A </t>
  </si>
  <si>
    <t>Außenwand gedämmt</t>
  </si>
  <si>
    <t>Außenwand nicht gedämmt</t>
  </si>
  <si>
    <t>Empfehlung Dämmung</t>
  </si>
  <si>
    <t>Sanierungswunsch Ja / Nein
Annahme Standardwärmedämmung EPS WLG (035)
U-Wert gemäß BEG EM 0,20 [W/m²K]</t>
  </si>
  <si>
    <t>Dachfenstertausch über Baujahr nach Gebiet oder Nutzereingabe</t>
  </si>
  <si>
    <t>Sanierungswunsch Ja / Nein
Standard-Kunststoffrahmen- oder Holzrahmenfenster
U-Wert gemäß BEG EM 0,95 [W/m²K]</t>
  </si>
  <si>
    <t>Abfrage:
Standard-Kunststoffrahmen- oder Holzrahmenfenster
U-Wert gemäß BEG EM 0,95 [W/m²K]</t>
  </si>
  <si>
    <t xml:space="preserve"> Beispiel: </t>
  </si>
  <si>
    <t>LOD Grundfläche oder Nutzereingabe der Fläche [m²]</t>
  </si>
  <si>
    <t>LOD (Umfang aus Grundfläche x Höhe - Fensterflächenanteil ca. 30%) 
(ausschließlich für unbeheizte Kellerräume) oder Nutzereingabe der Fläche [m²]</t>
  </si>
  <si>
    <t>LOD oder Nutzereingabe der Fläche [m²]</t>
  </si>
  <si>
    <t>Sanierungsempfehlung über Baujahr nach Gebiet oder Nutzereingabe</t>
  </si>
  <si>
    <t>Sanierungswunsch Ja / Nein
Annahme Standardwärmedämmung EPS/XPS WLG (030)
U-Wert gemäß BEG EM 0,25 [W/m²K]</t>
  </si>
  <si>
    <t>(beheizter Keller)</t>
  </si>
  <si>
    <t>(&lt; 60 Jahre)</t>
  </si>
  <si>
    <t>(&gt; 60 Jahre)</t>
  </si>
  <si>
    <t>(gemäß Kat.1 U-Wert)</t>
  </si>
  <si>
    <t>OGD saniert</t>
  </si>
  <si>
    <t>Oberste Geschossdecke gedämmt</t>
  </si>
  <si>
    <t>Oberste Geschossdecke nicht gedämmt</t>
  </si>
  <si>
    <t>Dachraum beheizt Ja/Nein</t>
  </si>
  <si>
    <t>Dachraum beheizt Ja / Nein</t>
  </si>
  <si>
    <t>Dämmung &gt;50 Jahre Bewertung als sanierungsbedürftig</t>
  </si>
  <si>
    <t>Empfehlung Dämmungaustausch</t>
  </si>
  <si>
    <t>Sanierungswunsch Ja / Nein
Annahme Standardwärmedämmung EPS/XPS WLG (032)
U-Wert gemäß BEG EM 0,14 [W/m²K]</t>
  </si>
  <si>
    <t>aus Datenstufe 2 Bestandsaufnahme
Annahme Standardwärmedämmung EPS/XPS WLG (032)
U-Wert gemäß BEG EM 0,14 [W/m²K]</t>
  </si>
  <si>
    <t>Sanierungswunsch Ja / Nein
Annahme Standardwärmedämmung Mineralwolle WLG (035)
U-Wert gemäß BEG EM 0,14 [W/m²K]</t>
  </si>
  <si>
    <t>aus Datenstufe 2 Bestandsaufnahme
Annahme Standardwärmedämmung Mineralwolle WLG (035)
U-Wert gemäß BEG EM 0,14 [W/m²K]</t>
  </si>
  <si>
    <t>Dämmung &gt;40 Jahre Bewertung als sanierungsbedürftig</t>
  </si>
  <si>
    <t>aus Datenstufe 2 Bestandsaufnahme
Annahme Standardwärmedämmung EPS WLG (035)
U-Wert gemäß BEG EM 0,20 [W/m²K]</t>
  </si>
  <si>
    <t xml:space="preserve">oder Alterseingabe gemäß Kat.1 U-Wert über 
</t>
  </si>
  <si>
    <t xml:space="preserve">Rahmenart (Holz, Kunststoff; Aluminium/Stahl) und </t>
  </si>
  <si>
    <t>Außenwandkonstruktion (gemäß Kat.1 U-Wert)</t>
  </si>
  <si>
    <t>Erdgas</t>
  </si>
  <si>
    <t>Biomasse</t>
  </si>
  <si>
    <t>Pellets</t>
  </si>
  <si>
    <t>zentral</t>
  </si>
  <si>
    <t>dezentral</t>
  </si>
  <si>
    <t>Wärmeerzeugung zentral</t>
  </si>
  <si>
    <t>Sole-Wasser Wärmepumpe Sonden</t>
  </si>
  <si>
    <t>Sole-Wasser Wärmepumpe Erdkollektor</t>
  </si>
  <si>
    <t>Zusatzheizung</t>
  </si>
  <si>
    <t>Sonne</t>
  </si>
  <si>
    <t>Solarthermie WWB</t>
  </si>
  <si>
    <t>Scheitholz</t>
  </si>
  <si>
    <t>Flächenheizung (Fußboden-, Wand-, Deckenheizung)</t>
  </si>
  <si>
    <t>Photovoltaik-Anlage möglich</t>
  </si>
  <si>
    <t>Solarkataster</t>
  </si>
  <si>
    <t>Gebietszuordnung</t>
  </si>
  <si>
    <t>Zusatzimfomation für Sanierungsempfehlung</t>
  </si>
  <si>
    <t>Umstellung auf Flächenheizung geplant</t>
  </si>
  <si>
    <t>Brennstofflagerfläche im Gebäude vorhanden</t>
  </si>
  <si>
    <t>Brennstofflagerfläche im Gebäude möglich</t>
  </si>
  <si>
    <t xml:space="preserve">zentral mit Zusatzheizung </t>
  </si>
  <si>
    <t>Solarthermie WWB und Heizung</t>
  </si>
  <si>
    <t>keine Sanierungsempfehlung</t>
  </si>
  <si>
    <t>Sanierungsempfehlung</t>
  </si>
  <si>
    <t>Stromdirektheizung</t>
  </si>
  <si>
    <t>Massivwand mit WDVS (0,20 W/m²K)</t>
  </si>
  <si>
    <t>(&lt; 20 Jahre)</t>
  </si>
  <si>
    <t>(&gt; 20 - 70  Jahre)</t>
  </si>
  <si>
    <t>(&gt; 70 Jahre)</t>
  </si>
  <si>
    <r>
      <t>R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</si>
  <si>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TDecke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</si>
  <si>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T,Dämmung</t>
    </r>
  </si>
  <si>
    <r>
      <t>(R</t>
    </r>
    <r>
      <rPr>
        <vertAlign val="subscript"/>
        <sz val="11"/>
        <color theme="1"/>
        <rFont val="Aptos Narrow"/>
        <family val="2"/>
        <scheme val="minor"/>
      </rPr>
      <t>TDecke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</si>
  <si>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T,Dämmung</t>
    </r>
    <r>
      <rPr>
        <sz val="11"/>
        <color theme="1"/>
        <rFont val="Aptos Narrow"/>
        <family val="2"/>
        <scheme val="minor"/>
      </rPr>
      <t>)</t>
    </r>
  </si>
  <si>
    <t>Bsp.:</t>
  </si>
  <si>
    <t>Baujahr über LOD oder Alterseingabe (U-Wert gemäß Kat. 1)</t>
  </si>
  <si>
    <t>Wie vorstehend, jedoch 
über 30cm Wandstärke</t>
  </si>
  <si>
    <r>
      <t>R</t>
    </r>
    <r>
      <rPr>
        <vertAlign val="subscript"/>
        <sz val="11"/>
        <color theme="1"/>
        <rFont val="Aptos Narrow"/>
        <family val="2"/>
        <scheme val="minor"/>
      </rPr>
      <t>TAußenwand</t>
    </r>
  </si>
  <si>
    <r>
      <t>(R</t>
    </r>
    <r>
      <rPr>
        <vertAlign val="subscript"/>
        <sz val="11"/>
        <color theme="1"/>
        <rFont val="Aptos Narrow"/>
        <family val="2"/>
        <scheme val="minor"/>
      </rPr>
      <t>TAußenwand</t>
    </r>
  </si>
  <si>
    <t>Flächenanteil  LOD (35% der Gesamtaußenwandfläche) oder Nutzeingabe der Fläche</t>
  </si>
  <si>
    <t>m²</t>
  </si>
  <si>
    <t>Baujahr über LOD oder Alterseingabe (gemäß Kat.2 Heizung)</t>
  </si>
  <si>
    <t>Nutzereingabe der Heizungsanlage</t>
  </si>
  <si>
    <t>LOD (Umfang aus Grundfläche x Höhe - Fensterflächenanteil ca. 35%) 
(ausschließlich für unbeheizte Kellerräume) oder Nutzereingabe der Fläche [m²]</t>
  </si>
  <si>
    <t>Nutzereingabe in kWh</t>
  </si>
  <si>
    <t>Endenergie-Aufwandszahl e th,ges</t>
  </si>
  <si>
    <t>Nutzeingabe Personenanzahl + Selbsteinschätzung</t>
  </si>
  <si>
    <r>
      <t>d</t>
    </r>
    <r>
      <rPr>
        <vertAlign val="subscript"/>
        <sz val="11"/>
        <color theme="1"/>
        <rFont val="Aptos Narrow"/>
        <family val="2"/>
        <scheme val="minor"/>
      </rPr>
      <t>Dä,NEU</t>
    </r>
  </si>
  <si>
    <r>
      <t>(1/U</t>
    </r>
    <r>
      <rPr>
        <vertAlign val="subscript"/>
        <sz val="11"/>
        <color theme="1"/>
        <rFont val="Aptos Narrow"/>
        <family val="2"/>
        <scheme val="minor"/>
      </rPr>
      <t>NEU</t>
    </r>
  </si>
  <si>
    <r>
      <t>1/U</t>
    </r>
    <r>
      <rPr>
        <vertAlign val="subscript"/>
        <sz val="11"/>
        <color theme="1"/>
        <rFont val="Aptos Narrow"/>
        <family val="2"/>
        <scheme val="minor"/>
      </rPr>
      <t>VORH</t>
    </r>
    <r>
      <rPr>
        <sz val="11"/>
        <color theme="1"/>
        <rFont val="Aptos Narrow"/>
        <family val="2"/>
        <scheme val="minor"/>
      </rPr>
      <t>)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</si>
  <si>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Dä,NEU</t>
    </r>
  </si>
  <si>
    <r>
      <t xml:space="preserve">U-Wert </t>
    </r>
    <r>
      <rPr>
        <vertAlign val="subscript"/>
        <sz val="11"/>
        <color theme="1"/>
        <rFont val="Aptos Narrow"/>
        <family val="2"/>
        <scheme val="minor"/>
      </rPr>
      <t>VORH</t>
    </r>
  </si>
  <si>
    <r>
      <t xml:space="preserve">U-Wert </t>
    </r>
    <r>
      <rPr>
        <vertAlign val="subscript"/>
        <sz val="11"/>
        <color theme="1"/>
        <rFont val="Aptos Narrow"/>
        <family val="2"/>
        <scheme val="minor"/>
      </rPr>
      <t>NEU</t>
    </r>
  </si>
  <si>
    <t>Lamda-Wert</t>
  </si>
  <si>
    <t>λ [W/mK])</t>
  </si>
  <si>
    <r>
      <t xml:space="preserve">Dämmung </t>
    </r>
    <r>
      <rPr>
        <vertAlign val="subscript"/>
        <sz val="11"/>
        <color theme="1"/>
        <rFont val="Aptos Narrow"/>
        <family val="2"/>
        <scheme val="minor"/>
      </rPr>
      <t>Neu</t>
    </r>
  </si>
  <si>
    <t>Bestand</t>
  </si>
  <si>
    <r>
      <t>Dicke Dämmung</t>
    </r>
    <r>
      <rPr>
        <vertAlign val="subscript"/>
        <sz val="11"/>
        <color theme="1"/>
        <rFont val="Aptos Narrow"/>
        <family val="2"/>
        <scheme val="minor"/>
      </rPr>
      <t xml:space="preserve"> NEU</t>
    </r>
  </si>
  <si>
    <t>gemäß 
BEG EM</t>
  </si>
  <si>
    <t>einzubauende
Dämmstärke</t>
  </si>
  <si>
    <t>Dach saniert</t>
  </si>
  <si>
    <r>
      <t>Dicke
 Dämmung</t>
    </r>
    <r>
      <rPr>
        <vertAlign val="subscript"/>
        <sz val="11"/>
        <color theme="1"/>
        <rFont val="Aptos Narrow"/>
        <family val="2"/>
        <scheme val="minor"/>
      </rPr>
      <t xml:space="preserve"> NEU</t>
    </r>
  </si>
  <si>
    <t>Quelle: Bundesanzeiger - Richtlinie für die Bundesförderung für effiziente Gebäude - Einzelmaßnahmen (BEG EM) vom 21. Dezember 2023</t>
  </si>
  <si>
    <t>Seite 18 ff</t>
  </si>
  <si>
    <t>1.1 Dämmung der Gebäudehülle, Sanierung von Fenstern, Türen und Vorhangfassaden</t>
  </si>
  <si>
    <t xml:space="preserve">Höchstwerte der Wärmedurchgangskoeffizienten Umax in W/(m2 · K) beziehungsweise der max. Wärmeleitfähigkeit λ in W/(m · K) </t>
  </si>
  <si>
    <t xml:space="preserve">Erneuerung, Ersatz oder erstmaliger Einbau von Bauteilen der 
thermischen Gebäudehülle </t>
  </si>
  <si>
    <t>Wohngebäude und Zonen von Nichtwohngebäuden T ≥ 19 °C</t>
  </si>
  <si>
    <t xml:space="preserve">Zonen von Nichtwohngebäuden mit 12 °C &lt; T &lt; 19 °C </t>
  </si>
  <si>
    <t xml:space="preserve">Außenwand </t>
  </si>
  <si>
    <t xml:space="preserve">Einblasdämmung/Kerndämmung bei bestehendem zweischaligem Mauerwerk </t>
  </si>
  <si>
    <t xml:space="preserve">λ ≤ 0,035 W/(m·K) </t>
  </si>
  <si>
    <t xml:space="preserve">λ ≤ 0,040 W/(m·K) </t>
  </si>
  <si>
    <t xml:space="preserve">Außenwände bei Baudenkmalen für alle Gebäude und bei sonstiger besonders erhaltenswerter Bausubstanz nur für Wohngebäude </t>
  </si>
  <si>
    <t xml:space="preserve">Außenwände mit Sichtfachwerk (Innendämmung bei Fachwerkaußenwänden, Erneuerung der Ausfachungen) </t>
  </si>
  <si>
    <t xml:space="preserve">Bauteilgruppe: 
Fenster, Fenstertüren, Dachflächenfenster, Glasdächer, Außentüren und Vorhangfassaden sowie Tore bei Nichtwohngebäuden </t>
  </si>
  <si>
    <t>Bauteilgruppe: 
Außenwand</t>
  </si>
  <si>
    <t xml:space="preserve">Ertüchtigung von Fenstern, Balkon- und Terrassentüren sowie von Kastenfenstern sowie von Fenstern mit Sonderverglasung </t>
  </si>
  <si>
    <t xml:space="preserve">Barrierearme oder einbruchhemmende Fenster, Balkon- und Terrassentüren </t>
  </si>
  <si>
    <t xml:space="preserve">Fenster, Balkon- und Terrassentüren mit Sonderverglasung (Verglasung zum Schall- und Brandschutz sowie Durchschuss-, Durchbruch- und Sprengwirkungshemmung) </t>
  </si>
  <si>
    <t xml:space="preserve">Fenster, Balkon- und Terrassentüren bei Baudenkmalen für alle Gebäude und bei sonstiger besonders erhaltenswerter Bausubstanz nur für Wohngebäude </t>
  </si>
  <si>
    <t xml:space="preserve">Fenster, Balkon- und Terrassentüren mit echten glasteilenden Sprossen bei Baudenkmalen für alle Gebäude und bei sonstiger besonders erhaltenswerter Bausubstanz nur für Wohngebäude </t>
  </si>
  <si>
    <t xml:space="preserve">Dachflächenfenster </t>
  </si>
  <si>
    <t xml:space="preserve">Glasdächer </t>
  </si>
  <si>
    <t xml:space="preserve">Lichtbänder und Lichtkuppeln </t>
  </si>
  <si>
    <t xml:space="preserve">Vorhangfassaden2 </t>
  </si>
  <si>
    <t>Fenster, Balkon- und Terrassentüren</t>
  </si>
  <si>
    <t>Außentüren beheizter Räume, Hauseingangstüren</t>
  </si>
  <si>
    <t xml:space="preserve">Tore (nur Nichtwohngebäude) </t>
  </si>
  <si>
    <t>Bauteilgruppe:
Dachflächen sowie Decken und Wände gegen unbeheizte Räume, Bodenflächen</t>
  </si>
  <si>
    <t xml:space="preserve">Dachflächen von Schrägdächern und dazugehörige Kehlbalkenlagen </t>
  </si>
  <si>
    <t xml:space="preserve">Dachgauben </t>
  </si>
  <si>
    <t xml:space="preserve">Oberste Geschossdecken und Wände (einschließlich Abseitenwände) gegen unbeheizte Dachräume </t>
  </si>
  <si>
    <t xml:space="preserve">Flachdächer und Dachflächen mit Abdichtung </t>
  </si>
  <si>
    <t xml:space="preserve">Dachflächen bei Baudenkmalen für alle Gebäude und bei sonstiger besonders erhaltenswerter Bausubstanz nur für Wohngebäude höchstmögliche Dämmstoffdicke (Flachdächer, Schrägdächer sowie dazugehörige Kehlbalkenlagen, Dachgauben oder oberste Geschossdecken) </t>
  </si>
  <si>
    <t xml:space="preserve">Wände gegen Erdreich oder unbeheizte Räume sowie Kellerräume </t>
  </si>
  <si>
    <t>Decken gegen unbeheizte Räume sowie Kellerdecken</t>
  </si>
  <si>
    <t xml:space="preserve">Geschossdecken gegen Außenluft von unten </t>
  </si>
  <si>
    <t xml:space="preserve">Bodenflächen gegen Erdreich </t>
  </si>
  <si>
    <t xml:space="preserve">Neuer Fußbodenaufbau bei bestehenden Bodenflächen gegen Erdreich (nur NWG) </t>
  </si>
  <si>
    <t>Fenster/ Türen saniert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</si>
  <si>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Nutzfläche nach GEG (0,32 * V</t>
    </r>
    <r>
      <rPr>
        <vertAlign val="subscript"/>
        <sz val="11"/>
        <color theme="1"/>
        <rFont val="Aptos Narrow"/>
        <family val="2"/>
        <scheme val="minor"/>
      </rPr>
      <t xml:space="preserve">e </t>
    </r>
    <r>
      <rPr>
        <sz val="11"/>
        <color theme="1"/>
        <rFont val="Aptos Narrow"/>
        <family val="2"/>
        <scheme val="minor"/>
      </rPr>
      <t>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</si>
  <si>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beheiztes Gebäudevolumen über LOD (Grundfläche x Höhe)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</si>
  <si>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EFH mit beheiztem Keller (1,1/1,35 * 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</si>
  <si>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EFH ohne beheiztem Keller sowie MFH (1,1/1,2 * 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</si>
  <si>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(1,1 * A</t>
    </r>
    <r>
      <rPr>
        <vertAlign val="subscript"/>
        <sz val="11"/>
        <color theme="1"/>
        <rFont val="Aptos Narrow"/>
        <family val="2"/>
        <scheme val="minor"/>
      </rPr>
      <t>wohn</t>
    </r>
    <r>
      <rPr>
        <sz val="11"/>
        <color theme="1"/>
        <rFont val="Aptos Narrow"/>
        <family val="2"/>
        <scheme val="minor"/>
      </rPr>
      <t>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</si>
  <si>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beheiztes Luftvolumen [bis zu 3 Vollgeschosse (0,76 * V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) oder übrige Fälle (0,80 * Ve) 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</si>
  <si>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e</t>
    </r>
  </si>
  <si>
    <t>Grundfläche</t>
  </si>
  <si>
    <t>Höhe</t>
  </si>
  <si>
    <r>
      <t>V</t>
    </r>
    <r>
      <rPr>
        <vertAlign val="subscript"/>
        <sz val="11"/>
        <color theme="1"/>
        <rFont val="Aptos Narrow"/>
        <family val="2"/>
        <scheme val="minor"/>
      </rPr>
      <t>L</t>
    </r>
  </si>
  <si>
    <t>Fixwert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</si>
  <si>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</si>
  <si>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</si>
  <si>
    <t>1,1/1,35</t>
  </si>
  <si>
    <t>Abhängig vom Bestandsgebäude</t>
  </si>
  <si>
    <t>1,1/1,2</t>
  </si>
  <si>
    <r>
      <t>A</t>
    </r>
    <r>
      <rPr>
        <vertAlign val="subscript"/>
        <sz val="11"/>
        <color theme="1"/>
        <rFont val="Aptos Narrow"/>
        <family val="2"/>
        <scheme val="minor"/>
      </rPr>
      <t>Wohn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</si>
  <si>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V </t>
    </r>
    <r>
      <rPr>
        <sz val="11"/>
        <color theme="1"/>
        <rFont val="Aptos Narrow"/>
        <family val="2"/>
        <scheme val="minor"/>
      </rPr>
      <t>Gesamtluftwechsel ohne mechanische Lüftung (Infiltration+Fenster)</t>
    </r>
  </si>
  <si>
    <t>n</t>
  </si>
  <si>
    <t>[W/K]</t>
  </si>
  <si>
    <r>
      <t>[h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]</t>
    </r>
  </si>
  <si>
    <t>0,34 Produkt aus Dichte und spez. Wärmekapazität von Luft [Wh/m³K]</t>
  </si>
  <si>
    <r>
      <t>n = n</t>
    </r>
    <r>
      <rPr>
        <vertAlign val="subscript"/>
        <sz val="11"/>
        <color theme="1"/>
        <rFont val="Aptos Narrow"/>
        <family val="2"/>
        <scheme val="minor"/>
      </rPr>
      <t>inf</t>
    </r>
    <r>
      <rPr>
        <sz val="11"/>
        <color theme="1"/>
        <rFont val="Aptos Narrow"/>
        <family val="2"/>
        <scheme val="minor"/>
      </rPr>
      <t xml:space="preserve"> + n</t>
    </r>
    <r>
      <rPr>
        <vertAlign val="subscript"/>
        <sz val="11"/>
        <color theme="1"/>
        <rFont val="Aptos Narrow"/>
        <family val="2"/>
        <scheme val="minor"/>
      </rPr>
      <t xml:space="preserve">win </t>
    </r>
    <r>
      <rPr>
        <sz val="11"/>
        <color theme="1"/>
        <rFont val="Aptos Narrow"/>
        <family val="2"/>
        <scheme val="minor"/>
      </rPr>
      <t>(Kategorie 3 Gebäudebestand n = 0,79)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</si>
  <si>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V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</si>
  <si>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Gesamt-Lüftungswärmsenken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</si>
  <si>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</si>
  <si>
    <t>[kWh/d]</t>
  </si>
  <si>
    <r>
      <t>Θ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</si>
  <si>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Θ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</si>
  <si>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l,source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</si>
  <si>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l</t>
    </r>
  </si>
  <si>
    <t>[kWh]</t>
  </si>
  <si>
    <t>t</t>
  </si>
  <si>
    <r>
      <t>Θ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= Bilanz-Innentemperatur Gebäudezone [20°C]</t>
    </r>
  </si>
  <si>
    <t>t = 24 Stunden pro Tag [h/d]</t>
  </si>
  <si>
    <t>[h/d]</t>
  </si>
  <si>
    <t>[°C]</t>
  </si>
  <si>
    <t>Fixwert [kW]</t>
  </si>
  <si>
    <r>
      <t>Θ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= durchschnittliche monatliche Außentemperatur [°C]</t>
    </r>
  </si>
  <si>
    <t>Interne Wärmequellen mit ql = 45Wh/m²d (EFH) oder 90 Wh/m²d (MFH)</t>
  </si>
  <si>
    <t>mittelschwere Gebäudezonen 90 Wh/(m²K]</t>
  </si>
  <si>
    <r>
      <t>C</t>
    </r>
    <r>
      <rPr>
        <vertAlign val="subscript"/>
        <sz val="11"/>
        <color theme="1"/>
        <rFont val="Aptos Narrow"/>
        <family val="2"/>
        <scheme val="minor"/>
      </rPr>
      <t>wirk</t>
    </r>
  </si>
  <si>
    <t>[Wh/(m²K)</t>
  </si>
  <si>
    <r>
      <t>C</t>
    </r>
    <r>
      <rPr>
        <vertAlign val="subscript"/>
        <sz val="11"/>
        <color theme="1"/>
        <rFont val="Aptos Narrow"/>
        <family val="2"/>
        <scheme val="minor"/>
      </rPr>
      <t xml:space="preserve">wirk </t>
    </r>
    <r>
      <rPr>
        <sz val="11"/>
        <color theme="1"/>
        <rFont val="Aptos Narrow"/>
        <family val="2"/>
        <scheme val="minor"/>
      </rPr>
      <t>Wärmespeicherfähigkeit - Ausnutzungsgrad</t>
    </r>
  </si>
  <si>
    <t>Nutzfläche über beheiztes Gebäudevolumen</t>
  </si>
  <si>
    <t>Nettogrundfläche EFH über Nutzfläche</t>
  </si>
  <si>
    <t>Nettogrundfläche MFH über Nutzfläche</t>
  </si>
  <si>
    <t>beheiztes Gebäudevolumen</t>
  </si>
  <si>
    <t>beheiztes Luftvolumen</t>
  </si>
  <si>
    <t>Nettgrundfläche über Wohnfläche</t>
  </si>
  <si>
    <t>Gesamt-Lüftungswärmesenken ohne mech. Lüftung</t>
  </si>
  <si>
    <t>Wärmespeicherfähigkeit</t>
  </si>
  <si>
    <t>[Wh/K]</t>
  </si>
  <si>
    <t>Nutzenergiebedarf Trinkwarmwasser</t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</si>
  <si>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Nutzenergiebedarf Trinkwarmwasser (Jahreswert)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</si>
  <si>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</si>
  <si>
    <t>[kWh/m²a]</t>
  </si>
  <si>
    <r>
      <t>(A</t>
    </r>
    <r>
      <rPr>
        <vertAlign val="subscript"/>
        <sz val="11"/>
        <color theme="1"/>
        <rFont val="Aptos Narrow"/>
        <family val="2"/>
        <scheme val="minor"/>
      </rPr>
      <t>NGF,WE,m</t>
    </r>
  </si>
  <si>
    <t>0,05)</t>
  </si>
  <si>
    <r>
      <t>Mindestens 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8,5 [kWh/m²a]</t>
    </r>
  </si>
  <si>
    <t>Gesamtluftwechsel ohne mech. Lüftung (Lüftungswärmeverlust)</t>
  </si>
  <si>
    <t>Volumen über LOD oder Nutzeingabe</t>
  </si>
  <si>
    <t>Luftdichheit Kat. [1/h]</t>
  </si>
  <si>
    <t>Volumen [m³]</t>
  </si>
  <si>
    <r>
      <t>H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[W/K]</t>
    </r>
  </si>
  <si>
    <t>Lüftungswärmeverluste</t>
  </si>
  <si>
    <t>Gesamtwärmeverlust</t>
  </si>
  <si>
    <t>H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</si>
  <si>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V </t>
    </r>
    <r>
      <rPr>
        <sz val="11"/>
        <color theme="1"/>
        <rFont val="Aptos Narrow"/>
        <family val="2"/>
        <scheme val="minor"/>
      </rPr>
      <t>= Lüftungswärmeverlust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</si>
  <si>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= Tranmissionswärmeverlust aller Bauteile inkl Wärmebrücken</t>
    </r>
  </si>
  <si>
    <t>Gesamtwärmeverlustkoeffizient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</si>
  <si>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V </t>
    </r>
    <r>
      <rPr>
        <sz val="11"/>
        <color theme="1"/>
        <rFont val="Aptos Narrow"/>
        <family val="2"/>
        <scheme val="minor"/>
      </rPr>
      <t>[W/K]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</si>
  <si>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H,N</t>
    </r>
  </si>
  <si>
    <t>HDD</t>
  </si>
  <si>
    <t>[Kd/a]</t>
  </si>
  <si>
    <t>24/1000</t>
  </si>
  <si>
    <t>Interne Gewinne</t>
  </si>
  <si>
    <t>HDD [Kd/a]</t>
  </si>
  <si>
    <t>24/1000 [Fixwert]</t>
  </si>
  <si>
    <t>angepasste Formel zur weiteren Berechnung</t>
  </si>
  <si>
    <t>&lt;--</t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</si>
  <si>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[kWh/a]</t>
    </r>
  </si>
  <si>
    <t>Interne Wärmequellen über Nettogrundfläche</t>
  </si>
  <si>
    <t>Vereinfachtes Verfahren nach DIN 18599-10:</t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</si>
  <si>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11 kWh/m²a (EFH) oder 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15 kWh/m²a (MFH)</t>
    </r>
  </si>
  <si>
    <t>Fixwert [kWh/a]</t>
  </si>
  <si>
    <t>vorläufiger Heizwärmebedarf (Nutzenergie Heizen)</t>
  </si>
  <si>
    <t>Vereinfachtes Verfahren nach DIN 18599-10</t>
  </si>
  <si>
    <t>[W/m²d]</t>
  </si>
  <si>
    <r>
      <t>Q</t>
    </r>
    <r>
      <rPr>
        <vertAlign val="subscript"/>
        <sz val="11"/>
        <color theme="1"/>
        <rFont val="Aptos Narrow"/>
        <family val="2"/>
        <scheme val="minor"/>
      </rPr>
      <t xml:space="preserve">H,N </t>
    </r>
    <r>
      <rPr>
        <sz val="11"/>
        <color theme="1"/>
        <rFont val="Aptos Narrow"/>
        <family val="2"/>
        <scheme val="minor"/>
      </rPr>
      <t>Nutzenergie Heizen Jahreswert ohne solare und interne Gewinne</t>
    </r>
  </si>
  <si>
    <t>Heizwärmebedarf (Nutzenergie)</t>
  </si>
  <si>
    <t>nach Rücksprache mit Ralf als vorläufig vernachlässigbar zu betrachten</t>
  </si>
  <si>
    <t>Zusatz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</si>
</sst>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trike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.65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sz val="11"/>
      <color theme="1"/>
      <name val="Wingdings"/>
      <charset val="2"/>
    </font>
    <font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sz val="9.35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7"/>
        <bgColor indexed="64"/>
      </patternFill>
    </fill>
    <fill>
      <patternFill patternType="solid">
        <fgColor rgb="FFE2C4A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5" xfId="0" applyBorder="1"/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17" xfId="0" applyFill="1" applyBorder="1"/>
    <xf numFmtId="0" fontId="0" fillId="2" borderId="0" xfId="0" applyFill="1"/>
    <xf numFmtId="0" fontId="0" fillId="2" borderId="22" xfId="0" applyFill="1" applyBorder="1"/>
    <xf numFmtId="0" fontId="0" fillId="0" borderId="15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15" xfId="0" applyFill="1" applyBorder="1"/>
    <xf numFmtId="0" fontId="0" fillId="2" borderId="14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6" fillId="0" borderId="16" xfId="0" applyFon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6" xfId="0" applyBorder="1"/>
    <xf numFmtId="0" fontId="0" fillId="0" borderId="32" xfId="0" applyBorder="1"/>
    <xf numFmtId="0" fontId="0" fillId="0" borderId="1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/>
    <xf numFmtId="0" fontId="0" fillId="0" borderId="29" xfId="0" applyBorder="1"/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0" fillId="0" borderId="32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4" borderId="40" xfId="0" applyFill="1" applyBorder="1"/>
    <xf numFmtId="0" fontId="0" fillId="4" borderId="35" xfId="0" applyFill="1" applyBorder="1"/>
    <xf numFmtId="0" fontId="0" fillId="4" borderId="36" xfId="0" applyFill="1" applyBorder="1"/>
    <xf numFmtId="0" fontId="0" fillId="4" borderId="0" xfId="0" applyFill="1"/>
    <xf numFmtId="0" fontId="0" fillId="4" borderId="21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7" fillId="0" borderId="6" xfId="0" applyFont="1" applyBorder="1"/>
    <xf numFmtId="0" fontId="6" fillId="0" borderId="19" xfId="0" applyFont="1" applyBorder="1"/>
    <xf numFmtId="0" fontId="0" fillId="4" borderId="19" xfId="0" applyFill="1" applyBorder="1"/>
    <xf numFmtId="0" fontId="0" fillId="4" borderId="0" xfId="0" applyFill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4" borderId="23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 applyAlignment="1">
      <alignment horizontal="left" vertical="center"/>
    </xf>
    <xf numFmtId="0" fontId="8" fillId="0" borderId="43" xfId="0" applyFont="1" applyBorder="1"/>
    <xf numFmtId="0" fontId="0" fillId="0" borderId="27" xfId="0" applyBorder="1"/>
    <xf numFmtId="0" fontId="0" fillId="0" borderId="46" xfId="0" applyBorder="1" applyAlignment="1">
      <alignment horizontal="left"/>
    </xf>
    <xf numFmtId="0" fontId="0" fillId="0" borderId="47" xfId="0" applyBorder="1"/>
    <xf numFmtId="0" fontId="0" fillId="0" borderId="48" xfId="0" applyBorder="1" applyAlignment="1">
      <alignment horizontal="left"/>
    </xf>
    <xf numFmtId="0" fontId="0" fillId="0" borderId="46" xfId="0" applyBorder="1" applyAlignment="1">
      <alignment horizontal="center"/>
    </xf>
    <xf numFmtId="0" fontId="0" fillId="0" borderId="46" xfId="0" applyBorder="1"/>
    <xf numFmtId="0" fontId="0" fillId="0" borderId="46" xfId="0" quotePrefix="1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0" fontId="4" fillId="0" borderId="50" xfId="0" applyFon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165" fontId="0" fillId="0" borderId="46" xfId="0" applyNumberFormat="1" applyBorder="1" applyAlignment="1">
      <alignment horizontal="center"/>
    </xf>
    <xf numFmtId="165" fontId="0" fillId="0" borderId="25" xfId="0" quotePrefix="1" applyNumberFormat="1" applyBorder="1" applyAlignment="1">
      <alignment horizontal="center"/>
    </xf>
    <xf numFmtId="165" fontId="0" fillId="0" borderId="48" xfId="0" quotePrefix="1" applyNumberFormat="1" applyBorder="1" applyAlignment="1">
      <alignment horizontal="center"/>
    </xf>
    <xf numFmtId="0" fontId="0" fillId="0" borderId="51" xfId="0" applyBorder="1"/>
    <xf numFmtId="0" fontId="0" fillId="0" borderId="55" xfId="0" quotePrefix="1" applyBorder="1" applyAlignment="1">
      <alignment horizontal="center"/>
    </xf>
    <xf numFmtId="165" fontId="0" fillId="0" borderId="46" xfId="0" quotePrefix="1" applyNumberFormat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0" xfId="0" applyBorder="1" applyAlignment="1">
      <alignment horizontal="center" vertical="center" wrapText="1"/>
    </xf>
    <xf numFmtId="0" fontId="0" fillId="4" borderId="20" xfId="0" applyFill="1" applyBorder="1"/>
    <xf numFmtId="0" fontId="0" fillId="4" borderId="22" xfId="0" applyFill="1" applyBorder="1"/>
    <xf numFmtId="0" fontId="0" fillId="0" borderId="34" xfId="0" applyBorder="1" applyAlignment="1">
      <alignment horizontal="left" vertical="center"/>
    </xf>
    <xf numFmtId="0" fontId="0" fillId="0" borderId="34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56" xfId="0" applyBorder="1" applyAlignment="1">
      <alignment vertical="center"/>
    </xf>
    <xf numFmtId="0" fontId="7" fillId="0" borderId="11" xfId="0" applyFont="1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right"/>
    </xf>
    <xf numFmtId="2" fontId="0" fillId="0" borderId="2" xfId="0" applyNumberFormat="1" applyBorder="1"/>
    <xf numFmtId="0" fontId="0" fillId="0" borderId="8" xfId="0" applyBorder="1" applyAlignment="1">
      <alignment horizontal="right"/>
    </xf>
    <xf numFmtId="0" fontId="0" fillId="0" borderId="9" xfId="0" applyBorder="1"/>
    <xf numFmtId="2" fontId="0" fillId="0" borderId="8" xfId="0" applyNumberFormat="1" applyBorder="1"/>
    <xf numFmtId="0" fontId="0" fillId="0" borderId="8" xfId="0" applyBorder="1"/>
    <xf numFmtId="0" fontId="0" fillId="0" borderId="1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/>
    <xf numFmtId="0" fontId="0" fillId="0" borderId="34" xfId="0" applyBorder="1"/>
    <xf numFmtId="0" fontId="0" fillId="0" borderId="42" xfId="0" applyBorder="1"/>
    <xf numFmtId="0" fontId="0" fillId="2" borderId="42" xfId="0" applyFill="1" applyBorder="1" applyAlignment="1">
      <alignment horizontal="center" vertical="center"/>
    </xf>
    <xf numFmtId="0" fontId="0" fillId="2" borderId="12" xfId="0" applyFill="1" applyBorder="1"/>
    <xf numFmtId="0" fontId="0" fillId="2" borderId="34" xfId="0" applyFill="1" applyBorder="1"/>
    <xf numFmtId="0" fontId="0" fillId="2" borderId="42" xfId="0" applyFill="1" applyBorder="1"/>
    <xf numFmtId="0" fontId="0" fillId="0" borderId="17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0" fillId="2" borderId="16" xfId="0" applyFill="1" applyBorder="1"/>
    <xf numFmtId="0" fontId="0" fillId="2" borderId="18" xfId="0" applyFill="1" applyBorder="1"/>
    <xf numFmtId="0" fontId="0" fillId="0" borderId="24" xfId="0" applyBorder="1" applyAlignment="1">
      <alignment horizontal="left"/>
    </xf>
    <xf numFmtId="0" fontId="0" fillId="2" borderId="26" xfId="0" applyFill="1" applyBorder="1" applyAlignment="1">
      <alignment horizontal="left" vertical="center"/>
    </xf>
    <xf numFmtId="0" fontId="0" fillId="2" borderId="32" xfId="0" applyFill="1" applyBorder="1"/>
    <xf numFmtId="0" fontId="0" fillId="2" borderId="26" xfId="0" applyFill="1" applyBorder="1"/>
    <xf numFmtId="0" fontId="0" fillId="2" borderId="11" xfId="0" applyFill="1" applyBorder="1"/>
    <xf numFmtId="0" fontId="0" fillId="4" borderId="38" xfId="0" applyFill="1" applyBorder="1"/>
    <xf numFmtId="0" fontId="0" fillId="4" borderId="41" xfId="0" applyFill="1" applyBorder="1"/>
    <xf numFmtId="0" fontId="0" fillId="4" borderId="39" xfId="0" applyFill="1" applyBorder="1"/>
    <xf numFmtId="0" fontId="0" fillId="4" borderId="41" xfId="0" applyFill="1" applyBorder="1" applyAlignment="1">
      <alignment horizontal="right"/>
    </xf>
    <xf numFmtId="0" fontId="0" fillId="0" borderId="24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4" xfId="0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0" borderId="52" xfId="0" applyBorder="1"/>
    <xf numFmtId="0" fontId="0" fillId="0" borderId="45" xfId="0" applyBorder="1"/>
    <xf numFmtId="0" fontId="0" fillId="0" borderId="16" xfId="0" applyBorder="1" applyAlignment="1">
      <alignment horizontal="left"/>
    </xf>
    <xf numFmtId="0" fontId="0" fillId="0" borderId="44" xfId="0" applyBorder="1"/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0" fontId="0" fillId="3" borderId="0" xfId="0" applyFill="1"/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horizontal="right" vertical="center"/>
    </xf>
    <xf numFmtId="1" fontId="0" fillId="0" borderId="11" xfId="0" applyNumberFormat="1" applyBorder="1" applyAlignment="1">
      <alignment horizontal="right" vertical="center"/>
    </xf>
    <xf numFmtId="2" fontId="0" fillId="0" borderId="11" xfId="0" applyNumberFormat="1" applyBorder="1" applyAlignment="1">
      <alignment vertical="center"/>
    </xf>
    <xf numFmtId="0" fontId="0" fillId="0" borderId="6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0" borderId="19" xfId="0" applyBorder="1" applyAlignment="1">
      <alignment horizontal="right" vertical="center" wrapText="1"/>
    </xf>
    <xf numFmtId="2" fontId="0" fillId="0" borderId="0" xfId="0" applyNumberFormat="1" applyAlignment="1">
      <alignment vertical="center"/>
    </xf>
    <xf numFmtId="165" fontId="0" fillId="0" borderId="20" xfId="0" applyNumberFormat="1" applyBorder="1" applyAlignment="1">
      <alignment horizontal="left" vertical="center"/>
    </xf>
    <xf numFmtId="0" fontId="0" fillId="0" borderId="61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left" vertical="center" wrapText="1"/>
    </xf>
    <xf numFmtId="2" fontId="0" fillId="0" borderId="0" xfId="0" applyNumberFormat="1" applyAlignment="1">
      <alignment horizontal="right" vertical="center"/>
    </xf>
    <xf numFmtId="0" fontId="0" fillId="0" borderId="0" xfId="0" quotePrefix="1"/>
    <xf numFmtId="2" fontId="0" fillId="0" borderId="20" xfId="0" applyNumberFormat="1" applyBorder="1"/>
    <xf numFmtId="0" fontId="0" fillId="0" borderId="10" xfId="0" quotePrefix="1" applyBorder="1" applyAlignment="1">
      <alignment vertical="center"/>
    </xf>
    <xf numFmtId="2" fontId="0" fillId="0" borderId="10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quotePrefix="1" applyBorder="1" applyAlignment="1">
      <alignment vertical="center"/>
    </xf>
    <xf numFmtId="165" fontId="0" fillId="0" borderId="1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22" xfId="0" quotePrefix="1" applyBorder="1"/>
    <xf numFmtId="10" fontId="0" fillId="0" borderId="22" xfId="0" applyNumberFormat="1" applyBorder="1"/>
    <xf numFmtId="165" fontId="0" fillId="0" borderId="19" xfId="0" applyNumberFormat="1" applyBorder="1" applyAlignment="1">
      <alignment horizontal="left" vertical="center"/>
    </xf>
    <xf numFmtId="0" fontId="0" fillId="0" borderId="11" xfId="0" quotePrefix="1" applyBorder="1"/>
    <xf numFmtId="10" fontId="0" fillId="0" borderId="11" xfId="0" applyNumberFormat="1" applyBorder="1"/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0" fontId="0" fillId="0" borderId="0" xfId="0" applyNumberFormat="1"/>
    <xf numFmtId="0" fontId="0" fillId="0" borderId="62" xfId="0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2" fontId="0" fillId="0" borderId="10" xfId="0" applyNumberFormat="1" applyBorder="1" applyAlignment="1">
      <alignment horizontal="right" vertical="center"/>
    </xf>
    <xf numFmtId="0" fontId="0" fillId="0" borderId="26" xfId="0" applyBorder="1" applyAlignment="1">
      <alignment horizontal="right"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10" xfId="0" quotePrefix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2" xfId="0" quotePrefix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165" fontId="0" fillId="5" borderId="20" xfId="0" applyNumberFormat="1" applyFill="1" applyBorder="1" applyAlignment="1">
      <alignment horizontal="left" vertical="center" wrapText="1"/>
    </xf>
    <xf numFmtId="165" fontId="0" fillId="6" borderId="20" xfId="0" applyNumberFormat="1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22" xfId="0" quotePrefix="1" applyBorder="1" applyAlignment="1">
      <alignment horizontal="center" vertical="center" wrapText="1"/>
    </xf>
    <xf numFmtId="0" fontId="0" fillId="0" borderId="21" xfId="0" applyBorder="1" applyAlignment="1">
      <alignment horizontal="right" vertical="center" wrapText="1"/>
    </xf>
    <xf numFmtId="0" fontId="0" fillId="0" borderId="22" xfId="0" quotePrefix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2" fontId="0" fillId="0" borderId="17" xfId="0" applyNumberFormat="1" applyBorder="1" applyAlignment="1">
      <alignment horizontal="center" vertical="center"/>
    </xf>
    <xf numFmtId="0" fontId="0" fillId="0" borderId="17" xfId="0" quotePrefix="1" applyBorder="1" applyAlignment="1">
      <alignment vertical="center"/>
    </xf>
    <xf numFmtId="2" fontId="0" fillId="0" borderId="17" xfId="0" applyNumberFormat="1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0" fontId="0" fillId="0" borderId="11" xfId="0" quotePrefix="1" applyBorder="1" applyAlignment="1">
      <alignment horizontal="center" vertical="center" wrapText="1"/>
    </xf>
    <xf numFmtId="165" fontId="0" fillId="0" borderId="29" xfId="0" applyNumberFormat="1" applyBorder="1" applyAlignment="1">
      <alignment horizontal="left" vertical="center"/>
    </xf>
    <xf numFmtId="2" fontId="0" fillId="0" borderId="10" xfId="0" applyNumberFormat="1" applyBorder="1" applyAlignment="1">
      <alignment horizontal="left" vertical="center"/>
    </xf>
    <xf numFmtId="0" fontId="0" fillId="0" borderId="29" xfId="0" quotePrefix="1" applyBorder="1" applyAlignment="1">
      <alignment vertical="center"/>
    </xf>
    <xf numFmtId="2" fontId="0" fillId="0" borderId="22" xfId="0" applyNumberFormat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0" fillId="0" borderId="23" xfId="0" applyNumberForma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2" fontId="0" fillId="0" borderId="0" xfId="0" applyNumberFormat="1"/>
    <xf numFmtId="165" fontId="0" fillId="0" borderId="21" xfId="0" applyNumberFormat="1" applyBorder="1" applyAlignment="1">
      <alignment horizontal="left" vertical="center"/>
    </xf>
    <xf numFmtId="165" fontId="0" fillId="0" borderId="22" xfId="0" applyNumberFormat="1" applyBorder="1" applyAlignment="1">
      <alignment horizontal="right" vertical="center" wrapText="1"/>
    </xf>
    <xf numFmtId="165" fontId="0" fillId="0" borderId="10" xfId="0" applyNumberFormat="1" applyBorder="1" applyAlignment="1">
      <alignment horizontal="right" vertical="center" wrapText="1"/>
    </xf>
    <xf numFmtId="0" fontId="15" fillId="0" borderId="0" xfId="0" applyFont="1"/>
    <xf numFmtId="0" fontId="15" fillId="0" borderId="20" xfId="0" applyFont="1" applyBorder="1"/>
    <xf numFmtId="2" fontId="15" fillId="0" borderId="19" xfId="0" applyNumberFormat="1" applyFont="1" applyBorder="1" applyAlignment="1">
      <alignment horizontal="right" vertical="center"/>
    </xf>
    <xf numFmtId="2" fontId="15" fillId="0" borderId="0" xfId="0" applyNumberFormat="1" applyFont="1" applyAlignment="1">
      <alignment horizontal="left" vertical="center"/>
    </xf>
    <xf numFmtId="0" fontId="0" fillId="9" borderId="41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165" fontId="0" fillId="9" borderId="41" xfId="0" applyNumberFormat="1" applyFill="1" applyBorder="1" applyAlignment="1">
      <alignment horizontal="left" vertical="center"/>
    </xf>
    <xf numFmtId="0" fontId="0" fillId="9" borderId="41" xfId="0" quotePrefix="1" applyFill="1" applyBorder="1" applyAlignment="1">
      <alignment horizontal="center" vertical="center" wrapText="1"/>
    </xf>
    <xf numFmtId="165" fontId="0" fillId="9" borderId="41" xfId="0" applyNumberFormat="1" applyFill="1" applyBorder="1" applyAlignment="1">
      <alignment horizontal="right" vertical="center" wrapText="1"/>
    </xf>
    <xf numFmtId="2" fontId="0" fillId="9" borderId="41" xfId="0" applyNumberFormat="1" applyFill="1" applyBorder="1" applyAlignment="1">
      <alignment horizontal="left" vertical="center" wrapText="1"/>
    </xf>
    <xf numFmtId="0" fontId="0" fillId="9" borderId="41" xfId="0" applyFill="1" applyBorder="1" applyAlignment="1">
      <alignment horizontal="center" vertical="center"/>
    </xf>
    <xf numFmtId="0" fontId="0" fillId="9" borderId="41" xfId="0" applyFill="1" applyBorder="1"/>
    <xf numFmtId="0" fontId="0" fillId="9" borderId="41" xfId="0" applyFill="1" applyBorder="1" applyAlignment="1">
      <alignment vertical="center"/>
    </xf>
    <xf numFmtId="165" fontId="0" fillId="9" borderId="41" xfId="0" applyNumberFormat="1" applyFill="1" applyBorder="1" applyAlignment="1">
      <alignment horizontal="center" vertical="center"/>
    </xf>
    <xf numFmtId="0" fontId="0" fillId="9" borderId="41" xfId="0" quotePrefix="1" applyFill="1" applyBorder="1" applyAlignment="1">
      <alignment horizontal="center" vertical="center"/>
    </xf>
    <xf numFmtId="2" fontId="0" fillId="9" borderId="41" xfId="0" applyNumberFormat="1" applyFill="1" applyBorder="1" applyAlignment="1">
      <alignment horizontal="center" vertical="center"/>
    </xf>
    <xf numFmtId="0" fontId="0" fillId="9" borderId="41" xfId="0" quotePrefix="1" applyFill="1" applyBorder="1" applyAlignment="1">
      <alignment vertical="center"/>
    </xf>
    <xf numFmtId="2" fontId="0" fillId="9" borderId="39" xfId="0" applyNumberForma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38" xfId="0" applyFill="1" applyBorder="1"/>
    <xf numFmtId="0" fontId="0" fillId="9" borderId="39" xfId="0" applyFill="1" applyBorder="1"/>
    <xf numFmtId="0" fontId="0" fillId="9" borderId="38" xfId="0" applyFill="1" applyBorder="1" applyAlignment="1">
      <alignment vertical="center"/>
    </xf>
    <xf numFmtId="165" fontId="0" fillId="6" borderId="29" xfId="0" applyNumberFormat="1" applyFill="1" applyBorder="1" applyAlignment="1">
      <alignment horizontal="left" vertical="center" wrapText="1"/>
    </xf>
    <xf numFmtId="2" fontId="0" fillId="0" borderId="23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2" fontId="0" fillId="0" borderId="0" xfId="0" applyNumberFormat="1" applyAlignment="1">
      <alignment horizontal="right" vertical="center" wrapText="1"/>
    </xf>
    <xf numFmtId="2" fontId="0" fillId="0" borderId="10" xfId="0" quotePrefix="1" applyNumberFormat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2" fontId="0" fillId="0" borderId="11" xfId="0" quotePrefix="1" applyNumberFormat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right" vertical="center" wrapText="1"/>
    </xf>
    <xf numFmtId="2" fontId="0" fillId="0" borderId="17" xfId="0" applyNumberFormat="1" applyBorder="1" applyAlignment="1">
      <alignment vertical="center"/>
    </xf>
    <xf numFmtId="0" fontId="0" fillId="9" borderId="17" xfId="0" applyFill="1" applyBorder="1" applyAlignment="1">
      <alignment horizontal="left" vertical="center"/>
    </xf>
    <xf numFmtId="0" fontId="0" fillId="9" borderId="17" xfId="0" applyFill="1" applyBorder="1" applyAlignment="1">
      <alignment horizontal="center" vertical="center"/>
    </xf>
    <xf numFmtId="0" fontId="0" fillId="9" borderId="17" xfId="0" applyFill="1" applyBorder="1"/>
    <xf numFmtId="0" fontId="0" fillId="9" borderId="17" xfId="0" applyFill="1" applyBorder="1" applyAlignment="1">
      <alignment vertical="center" wrapText="1"/>
    </xf>
    <xf numFmtId="0" fontId="0" fillId="12" borderId="1" xfId="0" applyFill="1" applyBorder="1" applyAlignment="1">
      <alignment horizontal="right" vertical="center" wrapText="1"/>
    </xf>
    <xf numFmtId="0" fontId="0" fillId="10" borderId="0" xfId="0" applyFill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0" fillId="10" borderId="28" xfId="0" applyFill="1" applyBorder="1"/>
    <xf numFmtId="0" fontId="0" fillId="10" borderId="37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2" fontId="0" fillId="0" borderId="22" xfId="0" quotePrefix="1" applyNumberFormat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2" borderId="37" xfId="0" applyFill="1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2" fontId="0" fillId="0" borderId="10" xfId="0" applyNumberFormat="1" applyBorder="1" applyAlignment="1">
      <alignment vertical="center"/>
    </xf>
    <xf numFmtId="0" fontId="0" fillId="0" borderId="29" xfId="0" quotePrefix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50" xfId="0" applyBorder="1"/>
    <xf numFmtId="0" fontId="0" fillId="0" borderId="48" xfId="0" applyBorder="1"/>
    <xf numFmtId="0" fontId="0" fillId="0" borderId="41" xfId="0" applyBorder="1" applyAlignment="1">
      <alignment vertical="center"/>
    </xf>
    <xf numFmtId="0" fontId="0" fillId="0" borderId="64" xfId="0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1" fontId="0" fillId="0" borderId="11" xfId="0" applyNumberFormat="1" applyBorder="1" applyAlignment="1">
      <alignment vertical="center" wrapText="1"/>
    </xf>
    <xf numFmtId="1" fontId="0" fillId="0" borderId="17" xfId="0" applyNumberFormat="1" applyBorder="1" applyAlignment="1">
      <alignment vertical="center"/>
    </xf>
    <xf numFmtId="1" fontId="0" fillId="0" borderId="20" xfId="0" applyNumberFormat="1" applyBorder="1" applyAlignment="1">
      <alignment horizontal="left" vertical="center" wrapText="1"/>
    </xf>
    <xf numFmtId="0" fontId="0" fillId="9" borderId="0" xfId="0" applyFill="1"/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5" borderId="36" xfId="0" applyFill="1" applyBorder="1" applyAlignment="1">
      <alignment horizontal="center" vertical="center"/>
    </xf>
    <xf numFmtId="0" fontId="18" fillId="0" borderId="0" xfId="0" applyFont="1"/>
    <xf numFmtId="1" fontId="0" fillId="0" borderId="0" xfId="0" applyNumberForma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165" fontId="0" fillId="0" borderId="20" xfId="0" applyNumberFormat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 wrapText="1"/>
    </xf>
    <xf numFmtId="165" fontId="0" fillId="0" borderId="32" xfId="0" applyNumberFormat="1" applyBorder="1" applyAlignment="1">
      <alignment horizontal="left" vertical="center" wrapText="1"/>
    </xf>
    <xf numFmtId="0" fontId="0" fillId="0" borderId="11" xfId="0" applyBorder="1" applyAlignment="1">
      <alignment horizontal="right" vertical="center"/>
    </xf>
    <xf numFmtId="2" fontId="0" fillId="0" borderId="11" xfId="0" applyNumberFormat="1" applyBorder="1" applyAlignment="1">
      <alignment horizontal="right" vertical="center"/>
    </xf>
    <xf numFmtId="0" fontId="0" fillId="2" borderId="17" xfId="0" quotePrefix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7" xfId="0" quotePrefix="1" applyFill="1" applyBorder="1" applyAlignment="1">
      <alignment horizontal="left" vertical="center" wrapText="1"/>
    </xf>
    <xf numFmtId="165" fontId="0" fillId="2" borderId="17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20" xfId="0" quotePrefix="1" applyBorder="1" applyAlignment="1">
      <alignment horizontal="left" vertical="center"/>
    </xf>
    <xf numFmtId="2" fontId="0" fillId="2" borderId="17" xfId="0" applyNumberFormat="1" applyFill="1" applyBorder="1" applyAlignment="1">
      <alignment horizontal="right" vertical="center" wrapText="1"/>
    </xf>
    <xf numFmtId="165" fontId="0" fillId="2" borderId="17" xfId="0" applyNumberFormat="1" applyFill="1" applyBorder="1" applyAlignment="1">
      <alignment horizontal="left" vertical="center" wrapText="1"/>
    </xf>
    <xf numFmtId="0" fontId="0" fillId="2" borderId="17" xfId="0" applyFill="1" applyBorder="1" applyAlignment="1">
      <alignment vertical="center"/>
    </xf>
    <xf numFmtId="0" fontId="0" fillId="2" borderId="17" xfId="0" quotePrefix="1" applyFill="1" applyBorder="1" applyAlignment="1">
      <alignment horizontal="center" vertical="center"/>
    </xf>
    <xf numFmtId="2" fontId="0" fillId="2" borderId="17" xfId="0" quotePrefix="1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" fontId="0" fillId="2" borderId="17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10" borderId="9" xfId="0" applyFill="1" applyBorder="1" applyAlignment="1">
      <alignment horizontal="right" vertical="center" wrapText="1"/>
    </xf>
    <xf numFmtId="0" fontId="0" fillId="0" borderId="22" xfId="0" applyBorder="1" applyAlignment="1">
      <alignment horizontal="right" vertical="center" wrapText="1"/>
    </xf>
    <xf numFmtId="0" fontId="0" fillId="11" borderId="2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1" fontId="0" fillId="2" borderId="18" xfId="0" applyNumberFormat="1" applyFill="1" applyBorder="1" applyAlignment="1">
      <alignment horizontal="left" vertical="center" wrapText="1"/>
    </xf>
    <xf numFmtId="2" fontId="0" fillId="2" borderId="18" xfId="0" applyNumberFormat="1" applyFill="1" applyBorder="1" applyAlignment="1">
      <alignment horizontal="left" vertical="center" wrapText="1"/>
    </xf>
    <xf numFmtId="2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vertical="center"/>
    </xf>
    <xf numFmtId="0" fontId="0" fillId="13" borderId="37" xfId="0" applyFill="1" applyBorder="1" applyAlignment="1">
      <alignment horizontal="center" vertical="center" wrapText="1"/>
    </xf>
    <xf numFmtId="2" fontId="0" fillId="0" borderId="22" xfId="0" applyNumberFormat="1" applyBorder="1" applyAlignment="1">
      <alignment horizontal="right" vertical="center" wrapText="1"/>
    </xf>
    <xf numFmtId="165" fontId="0" fillId="0" borderId="23" xfId="0" applyNumberFormat="1" applyBorder="1" applyAlignment="1">
      <alignment horizontal="left" vertical="center" wrapText="1"/>
    </xf>
    <xf numFmtId="0" fontId="0" fillId="4" borderId="0" xfId="0" applyFill="1" applyAlignment="1">
      <alignment vertical="center"/>
    </xf>
    <xf numFmtId="0" fontId="8" fillId="0" borderId="22" xfId="0" applyFont="1" applyBorder="1"/>
    <xf numFmtId="0" fontId="0" fillId="0" borderId="21" xfId="0" applyBorder="1" applyAlignment="1">
      <alignment horizontal="left" vertical="center" wrapText="1"/>
    </xf>
    <xf numFmtId="165" fontId="0" fillId="0" borderId="22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2" fontId="0" fillId="12" borderId="1" xfId="0" applyNumberForma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8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2" fontId="0" fillId="0" borderId="20" xfId="0" applyNumberForma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2" fontId="0" fillId="0" borderId="11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7" fillId="5" borderId="0" xfId="0" applyFont="1" applyFill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9" borderId="38" xfId="0" applyFill="1" applyBorder="1" applyAlignment="1">
      <alignment horizontal="center" vertical="center" wrapText="1"/>
    </xf>
    <xf numFmtId="0" fontId="0" fillId="9" borderId="4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2" fontId="0" fillId="0" borderId="20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9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7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8" fillId="0" borderId="11" xfId="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165" fontId="0" fillId="0" borderId="1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right" vertic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8" xfId="0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43" xfId="0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0" fillId="0" borderId="37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5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165" fontId="0" fillId="0" borderId="46" xfId="0" applyNumberFormat="1" applyBorder="1" applyAlignment="1">
      <alignment horizontal="center" vertical="top"/>
    </xf>
    <xf numFmtId="0" fontId="0" fillId="0" borderId="18" xfId="0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47" xfId="0" applyBorder="1" applyAlignment="1">
      <alignment horizontal="left" wrapText="1"/>
    </xf>
    <xf numFmtId="0" fontId="0" fillId="0" borderId="25" xfId="0" applyBorder="1" applyAlignment="1">
      <alignment horizontal="center" vertical="center"/>
    </xf>
    <xf numFmtId="0" fontId="0" fillId="0" borderId="47" xfId="0" applyBorder="1" applyAlignment="1">
      <alignment horizontal="left" vertical="top"/>
    </xf>
    <xf numFmtId="0" fontId="0" fillId="0" borderId="45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left" vertical="center" wrapText="1"/>
    </xf>
    <xf numFmtId="0" fontId="0" fillId="10" borderId="0" xfId="0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6" xfId="0" applyBorder="1" applyAlignment="1">
      <alignment horizontal="center"/>
    </xf>
    <xf numFmtId="0" fontId="0" fillId="0" borderId="59" xfId="0" applyBorder="1" applyAlignment="1">
      <alignment horizontal="center" vertical="center" wrapText="1"/>
    </xf>
    <xf numFmtId="165" fontId="0" fillId="0" borderId="23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2" fontId="0" fillId="0" borderId="0" xfId="0" quotePrefix="1" applyNumberFormat="1" applyBorder="1" applyAlignment="1">
      <alignment horizontal="center" vertical="center"/>
    </xf>
    <xf numFmtId="0" fontId="0" fillId="0" borderId="0" xfId="0" applyBorder="1" applyAlignment="1">
      <alignment horizontal="right" vertical="center" wrapText="1"/>
    </xf>
    <xf numFmtId="2" fontId="0" fillId="12" borderId="4" xfId="0" applyNumberForma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10" borderId="0" xfId="0" applyNumberForma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2" borderId="0" xfId="0" applyFill="1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Fill="1" applyBorder="1" applyAlignment="1">
      <alignment horizontal="right"/>
    </xf>
    <xf numFmtId="0" fontId="0" fillId="0" borderId="20" xfId="0" applyFill="1" applyBorder="1"/>
    <xf numFmtId="0" fontId="3" fillId="0" borderId="0" xfId="0" applyFont="1" applyBorder="1" applyAlignment="1">
      <alignment vertical="center" wrapText="1"/>
    </xf>
    <xf numFmtId="2" fontId="0" fillId="0" borderId="0" xfId="0" applyNumberFormat="1" applyBorder="1" applyAlignment="1">
      <alignment horizontal="center" vertical="center" wrapText="1"/>
    </xf>
    <xf numFmtId="0" fontId="0" fillId="0" borderId="0" xfId="0" quotePrefix="1" applyBorder="1" applyAlignment="1">
      <alignment horizontal="right" vertical="center" wrapText="1"/>
    </xf>
    <xf numFmtId="2" fontId="0" fillId="0" borderId="0" xfId="0" applyNumberFormat="1" applyBorder="1" applyAlignment="1">
      <alignment horizontal="right" vertical="center" wrapText="1"/>
    </xf>
    <xf numFmtId="0" fontId="0" fillId="0" borderId="0" xfId="0" quotePrefix="1" applyBorder="1"/>
    <xf numFmtId="165" fontId="0" fillId="0" borderId="0" xfId="0" applyNumberFormat="1" applyBorder="1"/>
    <xf numFmtId="165" fontId="0" fillId="0" borderId="0" xfId="0" applyNumberForma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0" xfId="0" quotePrefix="1" applyBorder="1" applyAlignment="1">
      <alignment horizontal="left" vertical="center" wrapText="1"/>
    </xf>
    <xf numFmtId="0" fontId="0" fillId="10" borderId="19" xfId="0" applyFill="1" applyBorder="1"/>
    <xf numFmtId="0" fontId="0" fillId="0" borderId="20" xfId="0" quotePrefix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10" borderId="14" xfId="0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14" borderId="14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165" fontId="0" fillId="14" borderId="14" xfId="0" applyNumberForma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2" fontId="0" fillId="0" borderId="8" xfId="0" applyNumberFormat="1" applyBorder="1" applyAlignment="1">
      <alignment horizontal="center" vertical="center"/>
    </xf>
    <xf numFmtId="2" fontId="0" fillId="10" borderId="10" xfId="0" applyNumberFormat="1" applyFill="1" applyBorder="1" applyAlignment="1">
      <alignment horizontal="center" vertical="center" wrapText="1"/>
    </xf>
    <xf numFmtId="2" fontId="0" fillId="10" borderId="3" xfId="0" applyNumberFormat="1" applyFill="1" applyBorder="1" applyAlignment="1">
      <alignment horizontal="center" vertical="center" wrapText="1"/>
    </xf>
    <xf numFmtId="2" fontId="0" fillId="10" borderId="0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2" fontId="0" fillId="10" borderId="0" xfId="0" applyNumberFormat="1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1" fontId="0" fillId="0" borderId="0" xfId="0" applyNumberFormat="1" applyBorder="1" applyAlignment="1">
      <alignment vertical="center" wrapText="1"/>
    </xf>
    <xf numFmtId="0" fontId="0" fillId="0" borderId="24" xfId="0" applyBorder="1" applyAlignment="1">
      <alignment horizontal="left" vertical="center" wrapText="1"/>
    </xf>
    <xf numFmtId="165" fontId="0" fillId="14" borderId="12" xfId="0" applyNumberFormat="1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0" xfId="0" applyFill="1" applyBorder="1" applyAlignment="1"/>
    <xf numFmtId="2" fontId="0" fillId="10" borderId="14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2" fontId="0" fillId="0" borderId="9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4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8" xfId="0" applyFill="1" applyBorder="1"/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/>
    <xf numFmtId="0" fontId="0" fillId="4" borderId="0" xfId="0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2" xfId="0" applyFill="1" applyBorder="1"/>
    <xf numFmtId="0" fontId="0" fillId="4" borderId="10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6" xfId="0" applyFill="1" applyBorder="1"/>
    <xf numFmtId="164" fontId="0" fillId="4" borderId="11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4" borderId="12" xfId="0" applyFill="1" applyBorder="1"/>
    <xf numFmtId="0" fontId="0" fillId="0" borderId="38" xfId="0" applyBorder="1"/>
    <xf numFmtId="0" fontId="0" fillId="0" borderId="39" xfId="0" applyBorder="1" applyAlignment="1">
      <alignment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0" fillId="0" borderId="39" xfId="0" applyNumberFormat="1" applyBorder="1" applyAlignment="1">
      <alignment vertical="center"/>
    </xf>
    <xf numFmtId="2" fontId="0" fillId="0" borderId="41" xfId="0" applyNumberFormat="1" applyBorder="1" applyAlignment="1">
      <alignment horizontal="center" vertical="center"/>
    </xf>
    <xf numFmtId="0" fontId="0" fillId="0" borderId="39" xfId="0" applyBorder="1"/>
    <xf numFmtId="0" fontId="0" fillId="4" borderId="7" xfId="0" applyFill="1" applyBorder="1"/>
    <xf numFmtId="0" fontId="0" fillId="4" borderId="8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1" xfId="0" applyFill="1" applyBorder="1"/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2" fontId="0" fillId="0" borderId="12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2" fontId="0" fillId="4" borderId="0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/>
    <xf numFmtId="0" fontId="0" fillId="0" borderId="20" xfId="0" applyFill="1" applyBorder="1" applyAlignment="1"/>
    <xf numFmtId="0" fontId="0" fillId="0" borderId="20" xfId="0" applyFill="1" applyBorder="1" applyAlignment="1">
      <alignment vertical="center" wrapText="1"/>
    </xf>
    <xf numFmtId="0" fontId="0" fillId="0" borderId="0" xfId="0" applyFill="1"/>
    <xf numFmtId="0" fontId="0" fillId="0" borderId="0" xfId="0" applyFill="1" applyBorder="1" applyAlignment="1">
      <alignment vertical="center"/>
    </xf>
    <xf numFmtId="164" fontId="0" fillId="0" borderId="0" xfId="0" applyNumberFormat="1" applyBorder="1" applyAlignment="1">
      <alignment horizontal="center" vertical="center" wrapText="1"/>
    </xf>
    <xf numFmtId="0" fontId="9" fillId="0" borderId="0" xfId="0" applyFont="1"/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13" xfId="0" quotePrefix="1" applyFill="1" applyBorder="1" applyAlignment="1">
      <alignment horizontal="center" vertical="center"/>
    </xf>
    <xf numFmtId="0" fontId="0" fillId="15" borderId="0" xfId="0" applyFill="1"/>
    <xf numFmtId="0" fontId="0" fillId="15" borderId="14" xfId="0" applyFill="1" applyBorder="1" applyAlignment="1">
      <alignment horizontal="center" vertical="center"/>
    </xf>
    <xf numFmtId="0" fontId="0" fillId="15" borderId="14" xfId="0" quotePrefix="1" applyFill="1" applyBorder="1" applyAlignment="1">
      <alignment horizontal="center" vertical="center"/>
    </xf>
    <xf numFmtId="0" fontId="0" fillId="15" borderId="12" xfId="0" quotePrefix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quotePrefix="1" applyFill="1" applyBorder="1" applyAlignment="1">
      <alignment horizontal="center" vertical="center"/>
    </xf>
    <xf numFmtId="0" fontId="0" fillId="0" borderId="14" xfId="0" quotePrefix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0" fontId="0" fillId="0" borderId="12" xfId="0" quotePrefix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15" borderId="8" xfId="0" applyFont="1" applyFill="1" applyBorder="1" applyAlignment="1">
      <alignment horizontal="left" vertical="center"/>
    </xf>
    <xf numFmtId="0" fontId="9" fillId="15" borderId="12" xfId="0" applyFont="1" applyFill="1" applyBorder="1" applyAlignment="1">
      <alignment horizontal="left" vertical="center"/>
    </xf>
    <xf numFmtId="0" fontId="9" fillId="15" borderId="9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1" fontId="0" fillId="0" borderId="0" xfId="0" applyNumberFormat="1"/>
    <xf numFmtId="164" fontId="0" fillId="0" borderId="0" xfId="0" applyNumberFormat="1" applyBorder="1"/>
    <xf numFmtId="1" fontId="0" fillId="0" borderId="8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3" fontId="0" fillId="15" borderId="8" xfId="0" applyNumberForma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164" fontId="0" fillId="15" borderId="9" xfId="0" applyNumberForma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 wrapText="1"/>
    </xf>
    <xf numFmtId="0" fontId="5" fillId="0" borderId="12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quotePrefix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0" xfId="0" quotePrefix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20" xfId="0" applyFill="1" applyBorder="1" applyAlignment="1">
      <alignment vertical="center" wrapText="1"/>
    </xf>
    <xf numFmtId="0" fontId="0" fillId="2" borderId="0" xfId="0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2" fontId="15" fillId="0" borderId="22" xfId="0" applyNumberFormat="1" applyFont="1" applyBorder="1" applyAlignment="1">
      <alignment horizontal="center" vertical="center" wrapText="1"/>
    </xf>
    <xf numFmtId="2" fontId="15" fillId="0" borderId="23" xfId="0" applyNumberFormat="1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1" fontId="0" fillId="0" borderId="23" xfId="0" applyNumberFormat="1" applyBorder="1" applyAlignment="1">
      <alignment horizontal="left" vertical="center" wrapText="1"/>
    </xf>
    <xf numFmtId="2" fontId="0" fillId="13" borderId="0" xfId="0" applyNumberFormat="1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right" vertical="center" wrapText="1"/>
    </xf>
    <xf numFmtId="0" fontId="0" fillId="12" borderId="36" xfId="0" applyFill="1" applyBorder="1" applyAlignment="1">
      <alignment horizontal="center" vertical="center" wrapText="1"/>
    </xf>
    <xf numFmtId="1" fontId="0" fillId="0" borderId="19" xfId="0" applyNumberFormat="1" applyBorder="1"/>
    <xf numFmtId="1" fontId="0" fillId="0" borderId="32" xfId="0" applyNumberFormat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1" fontId="0" fillId="0" borderId="23" xfId="0" applyNumberForma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1" fontId="0" fillId="0" borderId="61" xfId="0" applyNumberFormat="1" applyBorder="1" applyAlignment="1">
      <alignment horizontal="center" vertical="center" wrapText="1"/>
    </xf>
    <xf numFmtId="0" fontId="3" fillId="0" borderId="61" xfId="0" applyFont="1" applyBorder="1" applyAlignment="1">
      <alignment vertical="center" wrapText="1"/>
    </xf>
    <xf numFmtId="0" fontId="0" fillId="0" borderId="62" xfId="0" applyBorder="1"/>
    <xf numFmtId="0" fontId="9" fillId="2" borderId="8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2" borderId="13" xfId="0" quotePrefix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quotePrefix="1" applyFill="1" applyBorder="1" applyAlignment="1">
      <alignment horizontal="center" vertical="center"/>
    </xf>
    <xf numFmtId="0" fontId="0" fillId="2" borderId="13" xfId="0" quotePrefix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  <xf numFmtId="0" fontId="9" fillId="2" borderId="0" xfId="0" applyFont="1" applyFill="1"/>
    <xf numFmtId="2" fontId="0" fillId="2" borderId="8" xfId="0" applyNumberFormat="1" applyFill="1" applyBorder="1" applyAlignment="1">
      <alignment horizontal="center" vertical="center"/>
    </xf>
    <xf numFmtId="0" fontId="0" fillId="2" borderId="12" xfId="0" quotePrefix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0" fillId="0" borderId="0" xfId="0" applyNumberFormat="1" applyAlignment="1">
      <alignment vertical="center" wrapText="1"/>
    </xf>
    <xf numFmtId="0" fontId="0" fillId="0" borderId="65" xfId="0" applyBorder="1" applyAlignment="1">
      <alignment vertical="center"/>
    </xf>
    <xf numFmtId="0" fontId="0" fillId="0" borderId="53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2C4A6"/>
      <color rgb="FFFF5D5D"/>
      <color rgb="FFFFF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chnische%20Daten\Projekte\25-10-10_Foxbyte\Archiv\26-01-26_-&#220;bersicht%20Berechnung%20Grobkonzept.xlsx" TargetMode="External"/><Relationship Id="rId1" Type="http://schemas.openxmlformats.org/officeDocument/2006/relationships/externalLinkPath" Target="Archiv/26-01-26_-&#220;bersicht%20Berechnung%20Grobkonze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bkonzept"/>
      <sheetName val="Dach-Fenster"/>
      <sheetName val="OGD"/>
      <sheetName val="AW-Fenster"/>
      <sheetName val="UGD"/>
      <sheetName val="Heizung"/>
      <sheetName val="Kat. 1 U-Wert"/>
      <sheetName val="Kat. 2 Heizung"/>
      <sheetName val="Formel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fo" id="{556C3DC0-D6A1-4BB0-8FC7-44D4B3FA6C99}" userId="S::info@ber.bayern::1ace26ce-865e-40f7-85fa-6688c0107837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70" dT="2026-01-16T09:59:40.70" personId="{556C3DC0-D6A1-4BB0-8FC7-44D4B3FA6C99}" id="{7C312E80-0EFB-4F63-9FB5-4001CB2D7B9B}">
    <text>-evtl. Abfragen beheizt oder unbeheizt zur Ermittlung der Gebäudehülle
-Vergleich Nutzertool VZ</text>
  </threadedComment>
  <threadedComment ref="AB70" dT="2026-01-16T09:19:32.25" personId="{556C3DC0-D6A1-4BB0-8FC7-44D4B3FA6C99}" id="{6F73B315-FA74-4589-A944-2045D3B2E4C4}">
    <text>-aus den LOD Daten herausnehmen ob Flachdach oder Satteldach
-daraus ergibt sich die Konstruktion
-Flachdach = massiv
-Satteldach = Holz</text>
  </threadedComment>
  <threadedComment ref="AN70" dT="2026-02-20T11:16:10.38" personId="{556C3DC0-D6A1-4BB0-8FC7-44D4B3FA6C99}" id="{C3C0D628-8C2A-4742-9620-48091BE4FF4E}">
    <text>Annahme Gebäudedaten</text>
  </threadedComment>
  <threadedComment ref="W71" dT="2026-02-20T11:16:22.10" personId="{556C3DC0-D6A1-4BB0-8FC7-44D4B3FA6C99}" id="{B5220C2B-7926-41CA-8197-F96CC82CC722}">
    <text>Annahme Gebäudedaten</text>
  </threadedComment>
  <threadedComment ref="Z73" dT="2026-01-16T11:24:27.30" personId="{556C3DC0-D6A1-4BB0-8FC7-44D4B3FA6C99}" id="{E1594331-A7F5-4311-805C-5001E0EC7EB8}">
    <text>Gemäß DIN EN ISO 6946</text>
  </threadedComment>
  <threadedComment ref="AB73" dT="2026-01-26T13:52:43.44" personId="{556C3DC0-D6A1-4BB0-8FC7-44D4B3FA6C99}" id="{C00016C2-7BF5-4C1C-9BDD-6142DA2E4FA4}">
    <text>Flachdach</text>
  </threadedComment>
  <threadedComment ref="AH73" dT="2026-01-16T10:39:22.42" personId="{556C3DC0-D6A1-4BB0-8FC7-44D4B3FA6C99}" id="{D5E3BE73-B612-47BA-BF38-D7068E762AA7}">
    <text>-Schicht besteht aus Dämmung und Holzbalken
- Minderung des U-Werts der Schicht um 30% durch Holzbalken</text>
  </threadedComment>
  <threadedComment ref="AB74" dT="2026-01-26T13:52:53.65" personId="{556C3DC0-D6A1-4BB0-8FC7-44D4B3FA6C99}" id="{53C25F50-570B-4F54-B38B-552286322285}">
    <text>Satteldach</text>
  </threadedComment>
  <threadedComment ref="AH74" dT="2026-01-26T15:00:35.13" personId="{556C3DC0-D6A1-4BB0-8FC7-44D4B3FA6C99}" id="{E2A0DE2C-05E8-484E-9236-33404914FF32}">
    <text>Entweder Zwischensparrendämmung oder Aufsparrendämmung</text>
  </threadedComment>
  <threadedComment ref="AH75" dT="2026-01-28T09:33:45.98" personId="{556C3DC0-D6A1-4BB0-8FC7-44D4B3FA6C99}" id="{C94F5835-A486-4C14-B455-F8236C90BC1A}">
    <text>Fixwert</text>
  </threadedComment>
  <threadedComment ref="AP76" dT="2026-01-16T11:24:00.57" personId="{556C3DC0-D6A1-4BB0-8FC7-44D4B3FA6C99}" id="{7ADD82DB-6196-4878-8D11-D3DC7ED0E86B}">
    <text>Gemäß DIN EN ISO 6946</text>
  </threadedComment>
  <threadedComment ref="AR76" dT="2026-01-16T12:33:38.96" personId="{556C3DC0-D6A1-4BB0-8FC7-44D4B3FA6C99}" id="{6AD8EBE0-E6A5-4621-9AA3-E41CD26B0F4D}">
    <text>- Minderung des U-Werts der Schicht um 1,30 durch Holzbalken</text>
  </threadedComment>
  <threadedComment ref="AP77" dT="2026-01-16T11:08:41.98" personId="{556C3DC0-D6A1-4BB0-8FC7-44D4B3FA6C99}" id="{BE7671D5-AAC1-4561-8465-2B1A2A1A4C5B}">
    <text>R'Dämmung= Rsi + ∑R (Dicke [m] / λ[W/(mK)] + Rse</text>
  </threadedComment>
  <threadedComment ref="AN78" dT="2026-01-16T10:33:23.66" personId="{556C3DC0-D6A1-4BB0-8FC7-44D4B3FA6C99}" id="{548E33A3-4D1B-4CA6-96EB-876335D2BB6B}">
    <text>-Bemessungswert aus DIN EN ISO 10456</text>
  </threadedComment>
  <threadedComment ref="AN82" dT="2026-02-20T11:16:14.94" personId="{556C3DC0-D6A1-4BB0-8FC7-44D4B3FA6C99}" id="{5ABCAE99-D9F9-4DE4-8F1B-EA1F24BC6403}">
    <text>Annahme Gebäudedaten</text>
  </threadedComment>
  <threadedComment ref="X83" dT="2026-02-20T11:16:26.17" personId="{556C3DC0-D6A1-4BB0-8FC7-44D4B3FA6C99}" id="{B1E838FF-7605-4410-ACA1-AFECE5850934}">
    <text>Annahme Gebäudedaten</text>
  </threadedComment>
  <threadedComment ref="AN89" dT="2026-02-20T11:17:33.29" personId="{556C3DC0-D6A1-4BB0-8FC7-44D4B3FA6C99}" id="{D305441E-9605-4BDC-A040-AF0CBE52D734}">
    <text>Annahme Gebäudedaten</text>
  </threadedComment>
  <threadedComment ref="X90" dT="2026-02-20T11:17:38.82" personId="{556C3DC0-D6A1-4BB0-8FC7-44D4B3FA6C99}" id="{F4864A61-5B4C-46A2-958B-E7E71BA5071A}">
    <text>Annahme Gebäudedaten</text>
  </threadedComment>
  <threadedComment ref="Z92" dT="2026-01-16T11:24:27.30" personId="{556C3DC0-D6A1-4BB0-8FC7-44D4B3FA6C99}" id="{4A05E870-4671-47EF-8FAD-A19F7EB7F705}">
    <text>Gemäß DIN EN ISO 6946</text>
  </threadedComment>
  <threadedComment ref="AB92" dT="2026-01-29T13:13:56.92" personId="{556C3DC0-D6A1-4BB0-8FC7-44D4B3FA6C99}" id="{435006F1-42AF-44A2-A796-B472C13DC705}">
    <text>Abstimmung mit Ralf erforderlich
abgesegnet</text>
  </threadedComment>
  <threadedComment ref="AL94" dT="2026-02-20T11:18:33.10" personId="{556C3DC0-D6A1-4BB0-8FC7-44D4B3FA6C99}" id="{FE53735A-EFF3-4662-A354-BD63C8540B8A}">
    <text>Annahme Gebäudedaten</text>
  </threadedComment>
  <threadedComment ref="AP94" dT="2026-02-20T11:20:30.80" personId="{556C3DC0-D6A1-4BB0-8FC7-44D4B3FA6C99}" id="{34FE3695-A470-4010-A52E-8567596EF065}">
    <text>Festgelegt 0,032</text>
  </threadedComment>
  <threadedComment ref="AP96" dT="2026-01-16T11:08:41.98" personId="{556C3DC0-D6A1-4BB0-8FC7-44D4B3FA6C99}" id="{7150452B-F2C3-4297-B4DA-AEE3BDDE2A90}">
    <text>R'Dämmung= Rsi + ∑R (Dicke [m] / λ[W/(mK)] + Rse</text>
  </threadedComment>
  <threadedComment ref="AP109" dT="2026-01-16T11:08:41.98" personId="{556C3DC0-D6A1-4BB0-8FC7-44D4B3FA6C99}" id="{0A2FE250-3E87-446B-BB77-23CE1DADDBFC}">
    <text>R'Dämmung= Rsi + ∑R (Dicke [m] / λ[W/(mK)] + Rse</text>
  </threadedComment>
  <threadedComment ref="Q119" dT="2026-02-20T10:03:26.28" personId="{556C3DC0-D6A1-4BB0-8FC7-44D4B3FA6C99}" id="{3666FBA1-11F0-4F0E-B385-80E062560FB7}">
    <text>Korrekturfaktor für Dachfenster</text>
  </threadedComment>
  <threadedComment ref="AN122" dT="2026-02-20T11:12:52.78" personId="{556C3DC0-D6A1-4BB0-8FC7-44D4B3FA6C99}" id="{1B5E35E2-87F2-484A-92B1-ED17C275A956}">
    <text>Annahme Gebäudedaten</text>
  </threadedComment>
  <threadedComment ref="Z125" dT="2026-01-16T11:24:27.30" personId="{556C3DC0-D6A1-4BB0-8FC7-44D4B3FA6C99}" id="{1F0A1AE6-3200-4F86-B3A3-5BF1C75C3108}">
    <text>Gemäß DIN EN ISO 6946</text>
  </threadedComment>
  <threadedComment ref="AB127" dT="2026-01-29T13:18:46.18" personId="{556C3DC0-D6A1-4BB0-8FC7-44D4B3FA6C99}" id="{344A7644-99A9-465A-B6D1-369C0949B932}">
    <text>Abstimmung mit Ralf</text>
  </threadedComment>
  <threadedComment ref="AP129" dT="2026-01-16T11:08:41.98" personId="{556C3DC0-D6A1-4BB0-8FC7-44D4B3FA6C99}" id="{DF7FC8F9-8389-44E0-8543-0E9874902376}">
    <text>R'Dämmung= Rsi + ∑R (Dicke [m] / λ[W/(mK)] + Rse</text>
  </threadedComment>
  <threadedComment ref="S137" dT="2026-03-13T11:01:53.51" personId="{556C3DC0-D6A1-4BB0-8FC7-44D4B3FA6C99}" id="{CEDCFDF4-9B96-44EB-9899-D4C69C4FC0B1}">
    <text>Fixwert</text>
  </threadedComment>
  <threadedComment ref="V137" dT="2026-03-13T10:57:10.45" personId="{556C3DC0-D6A1-4BB0-8FC7-44D4B3FA6C99}" id="{54346D7D-867C-448B-9C3E-106B56C8F57A}">
    <text>Beheiztes Luftvolumen</text>
  </threadedComment>
  <threadedComment ref="O144" dT="2026-01-23T10:18:17.89" personId="{556C3DC0-D6A1-4BB0-8FC7-44D4B3FA6C99}" id="{8A761802-0E9F-4753-A941-AB674CAE970B}">
    <text>Dachraum Beheizt oder unbeheizt?</text>
  </threadedComment>
  <threadedComment ref="O156" dT="2026-01-23T11:31:18.57" personId="{556C3DC0-D6A1-4BB0-8FC7-44D4B3FA6C99}" id="{F19446E3-9472-42AF-9695-E07C2E483815}">
    <text>Dachraum beheizt oder unbeheizt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3" dT="2026-01-16T09:59:40.70" personId="{556C3DC0-D6A1-4BB0-8FC7-44D4B3FA6C99}" id="{D298323B-0842-4798-B6F5-B9670EBDECAC}">
    <text>-evtl. Abfragen beheizt oder unbeheizt zur Ermittlung der Gebäudehülle
-Vergleich Nutzertool VZ</text>
  </threadedComment>
  <threadedComment ref="AE3" dT="2026-01-16T09:19:32.25" personId="{556C3DC0-D6A1-4BB0-8FC7-44D4B3FA6C99}" id="{17A849A9-7736-415B-BD62-3B621655E34B}">
    <text>-aus den LOD Daten herausnehmen ob Flachdach oder Satteldach
-daraus ergibt sich die Konstruktion
-Flachdach = massiv
-Satteldach = Holz</text>
  </threadedComment>
  <threadedComment ref="AM3" dT="2026-02-20T11:11:12.47" personId="{556C3DC0-D6A1-4BB0-8FC7-44D4B3FA6C99}" id="{4FD089F5-DA67-46AD-AB27-A7C5B41ACA62}">
    <text>Annahme Gebäudedaten</text>
  </threadedComment>
  <threadedComment ref="Z4" dT="2026-02-20T11:10:23.55" personId="{556C3DC0-D6A1-4BB0-8FC7-44D4B3FA6C99}" id="{E4AB48EE-C7C2-46D5-9EE0-D5C6E02D65D5}">
    <text>Annahme Gebäudedaten</text>
  </threadedComment>
  <threadedComment ref="AB6" dT="2026-01-16T11:24:27.30" personId="{556C3DC0-D6A1-4BB0-8FC7-44D4B3FA6C99}" id="{D3ED9699-F8AE-4941-9680-34C8AE4CEDEE}">
    <text>Gemäß DIN EN ISO 6946</text>
  </threadedComment>
  <threadedComment ref="AG6" dT="2026-01-16T10:39:22.42" personId="{556C3DC0-D6A1-4BB0-8FC7-44D4B3FA6C99}" id="{02E9F9EC-03EB-42CA-BB98-BB1EAC0EA9B5}">
    <text>-Schicht besteht aus Dämmung und Holzbalken
- Minderung des U-Werts der Schicht um 30% durch Holzbalken</text>
  </threadedComment>
  <threadedComment ref="AE7" dT="2026-01-26T13:52:43.44" personId="{556C3DC0-D6A1-4BB0-8FC7-44D4B3FA6C99}" id="{3A64674B-111D-4AE6-A986-0777B57A6982}">
    <text>Flachdach</text>
  </threadedComment>
  <threadedComment ref="AG7" dT="2026-01-26T15:00:35.13" personId="{556C3DC0-D6A1-4BB0-8FC7-44D4B3FA6C99}" id="{AC5F129D-C695-47B6-ADF2-6B37B522C546}">
    <text>Entweder Zwischensparrendämmung oder Aufsparrendämmung</text>
  </threadedComment>
  <threadedComment ref="AE8" dT="2026-01-26T13:52:53.65" personId="{556C3DC0-D6A1-4BB0-8FC7-44D4B3FA6C99}" id="{3338836B-5056-4179-9E12-FF4E80860E4C}">
    <text>Satteldach</text>
  </threadedComment>
  <threadedComment ref="AG8" dT="2026-01-28T09:33:45.98" personId="{556C3DC0-D6A1-4BB0-8FC7-44D4B3FA6C99}" id="{06B2C262-A460-4C26-9F80-FCDD37BBFC79}">
    <text>Fixwert bei Aufdachdämmung (Flachdach)</text>
  </threadedComment>
  <threadedComment ref="AO9" dT="2026-01-16T11:24:00.57" personId="{556C3DC0-D6A1-4BB0-8FC7-44D4B3FA6C99}" id="{A53139A9-E70A-4566-9FB1-0F66ABBEB1C0}">
    <text>Gemäß DIN EN ISO 6946</text>
  </threadedComment>
  <threadedComment ref="AQ9" dT="2026-01-16T12:33:38.96" personId="{556C3DC0-D6A1-4BB0-8FC7-44D4B3FA6C99}" id="{FC843BA4-FAC3-4A06-9BFE-C9257C1D96FE}">
    <text>- Minderung des U-Werts der Schicht um 1,30 durch Holzbalken</text>
  </threadedComment>
  <threadedComment ref="AO10" dT="2026-01-16T11:08:41.98" personId="{556C3DC0-D6A1-4BB0-8FC7-44D4B3FA6C99}" id="{BE0DDB55-60A2-479C-80BF-0FE56EAF3F34}">
    <text>R'Dämmung= Rsi + ∑R (Dicke [m] / λ[W/(mK)] + Rse</text>
  </threadedComment>
  <threadedComment ref="AM11" dT="2026-01-16T10:33:23.66" personId="{556C3DC0-D6A1-4BB0-8FC7-44D4B3FA6C99}" id="{CEFB2E77-7CA5-488B-AF58-0BE17A868CEF}">
    <text>-Bemessungswert aus DIN EN ISO 10456</text>
  </threadedComment>
  <threadedComment ref="AK13" dT="2026-02-20T10:50:16.68" personId="{556C3DC0-D6A1-4BB0-8FC7-44D4B3FA6C99}" id="{8654CF47-C1B6-4488-862B-EAD5EB418097}">
    <text>Bestand U-Wert</text>
  </threadedComment>
  <threadedComment ref="S17" dT="2026-02-20T10:03:26.28" personId="{556C3DC0-D6A1-4BB0-8FC7-44D4B3FA6C99}" id="{EB47AEDF-257D-4B25-B745-56167A2322CA}">
    <text>Korrekturfaktor für Dachfenster</text>
  </threadedComment>
  <threadedComment ref="U26" dT="2026-03-06T12:09:35.93" personId="{556C3DC0-D6A1-4BB0-8FC7-44D4B3FA6C99}" id="{A1FC5D0F-7D52-4665-8A47-8F4E24A23F75}">
    <text>Sanierungsergebnis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M3" dT="2026-02-20T11:12:52.78" personId="{556C3DC0-D6A1-4BB0-8FC7-44D4B3FA6C99}" id="{E72D2769-08A9-473D-A6E8-1620A10EB2DD}">
    <text>Annahme Gebäudedaten</text>
  </threadedComment>
  <threadedComment ref="Z4" dT="2026-02-20T11:12:56.42" personId="{556C3DC0-D6A1-4BB0-8FC7-44D4B3FA6C99}" id="{C5CFA34D-0196-4826-B119-FBD611EE325A}">
    <text>Annahme Gebäudedaten</text>
  </threadedComment>
  <threadedComment ref="AB6" dT="2026-01-16T11:24:27.30" personId="{556C3DC0-D6A1-4BB0-8FC7-44D4B3FA6C99}" id="{C0FDDC62-E04F-47D6-BA3C-D62F9EF593AC}">
    <text>Gemäß DIN EN ISO 6946</text>
  </threadedComment>
  <threadedComment ref="AE6" dT="2026-01-29T13:13:56.92" personId="{556C3DC0-D6A1-4BB0-8FC7-44D4B3FA6C99}" id="{27554741-04A5-4A07-A517-6CE6CE5AF26D}">
    <text>Abstimmung mit Ralf erforderlich
abgesegnet</text>
  </threadedComment>
  <threadedComment ref="AK8" dT="2026-02-20T11:18:33.10" personId="{556C3DC0-D6A1-4BB0-8FC7-44D4B3FA6C99}" id="{8D6D3181-CD78-462A-A310-99D6BB21AE31}">
    <text>Annahme Gebäudedaten</text>
  </threadedComment>
  <threadedComment ref="AO8" dT="2026-02-20T11:20:30.80" personId="{556C3DC0-D6A1-4BB0-8FC7-44D4B3FA6C99}" id="{EB3313BC-7945-41D4-9580-27348813102C}">
    <text>Festgelegt 0,032</text>
  </threadedComment>
  <threadedComment ref="AO10" dT="2026-01-16T11:08:41.98" personId="{556C3DC0-D6A1-4BB0-8FC7-44D4B3FA6C99}" id="{9A12A69D-022B-4ED1-9197-785B82CBD58D}">
    <text>R'Dämmung= Rsi + ∑R (Dicke [m] / λ[W/(mK)] + Rse</text>
  </threadedComment>
  <threadedComment ref="U19" dT="2026-03-06T12:09:35.93" personId="{556C3DC0-D6A1-4BB0-8FC7-44D4B3FA6C99}" id="{C5668288-2C93-4732-BDF0-E0958A5F0ECC}">
    <text>Sanierungsergebnis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O10" dT="2026-01-16T11:08:41.98" personId="{556C3DC0-D6A1-4BB0-8FC7-44D4B3FA6C99}" id="{9A12A69D-022B-4ED2-9197-785B82CBD58D}">
    <text>R'Dämmung= Rsi + ∑R (Dicke [m] / λ[W/(mK)] + Rse</text>
  </threadedComment>
  <threadedComment ref="S20" dT="2026-02-20T10:03:26.28" personId="{556C3DC0-D6A1-4BB0-8FC7-44D4B3FA6C99}" id="{EB47AEDF-257D-4B26-B745-56167A2322CA}">
    <text>Korrekturfaktor für Dachfenster</text>
  </threadedComment>
  <threadedComment ref="U27" dT="2026-03-06T12:09:35.93" personId="{556C3DC0-D6A1-4BB0-8FC7-44D4B3FA6C99}" id="{686876FA-4AE4-4FEE-B03A-4660A3B6CEBE}">
    <text>Sanierungsergebnis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M3" dT="2026-02-20T11:12:52.78" personId="{556C3DC0-D6A1-4BB0-8FC7-44D4B3FA6C99}" id="{E72D2769-08A9-473E-A6E8-1620A10EB2DD}">
    <text>Annahme Gebäudedaten</text>
  </threadedComment>
  <threadedComment ref="AB6" dT="2026-01-16T11:24:27.30" personId="{556C3DC0-D6A1-4BB0-8FC7-44D4B3FA6C99}" id="{C0FDDC62-E04F-47D7-BA3C-D62F9EF593AC}">
    <text>Gemäß DIN EN ISO 6946</text>
  </threadedComment>
  <threadedComment ref="AE8" dT="2026-01-29T13:18:46.18" personId="{556C3DC0-D6A1-4BB0-8FC7-44D4B3FA6C99}" id="{D13F50FA-C866-45AA-9283-E271F912CEF7}">
    <text>Abstimmung mit Ralf</text>
  </threadedComment>
  <threadedComment ref="AO10" dT="2026-01-16T11:08:41.98" personId="{556C3DC0-D6A1-4BB0-8FC7-44D4B3FA6C99}" id="{9A12A69D-022B-4ED3-9197-785B82CBD58D}">
    <text>R'Dämmung= Rsi + ∑R (Dicke [m] / λ[W/(mK)] + Rse</text>
  </threadedComment>
  <threadedComment ref="U19" dT="2026-03-06T12:09:35.93" personId="{556C3DC0-D6A1-4BB0-8FC7-44D4B3FA6C99}" id="{4A1684FC-8486-40DF-B950-535612B92DB4}">
    <text>Sanierungsergebnis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5" dT="2026-03-13T10:42:13.26" personId="{556C3DC0-D6A1-4BB0-8FC7-44D4B3FA6C99}" id="{1D326541-3F37-4996-851D-E2337A6E413E}">
    <text>2 Geschosse á 2,75m</text>
  </threadedComment>
  <threadedComment ref="F30" dT="2026-03-11T12:10:51.38" personId="{556C3DC0-D6A1-4BB0-8FC7-44D4B3FA6C99}" id="{A851535F-39E5-4C46-A429-943D5E6A8B4D}">
    <text xml:space="preserve">Eingabe des Bsp. Gebäudes
</text>
  </threadedComment>
  <threadedComment ref="J45" dT="2026-03-16T09:10:18.62" personId="{556C3DC0-D6A1-4BB0-8FC7-44D4B3FA6C99}" id="{25CB9F68-43C2-414D-A6F3-87480F29859E}">
    <text xml:space="preserve">24 h Faktor zur Umrechnung von Tagen in Stunden
/1000 Umrechnung von Wattstunden in Kilowattstunden
</text>
  </threadedComment>
  <threadedComment ref="F46" dT="2026-03-16T09:16:26.12" personId="{556C3DC0-D6A1-4BB0-8FC7-44D4B3FA6C99}" id="{65D32B68-F32A-4B4B-A440-1C8C7A316266}">
    <text>Langjähriges Mittel (20 Jahre) für Regensburg</text>
  </threadedComment>
  <threadedComment ref="N49" dT="2026-03-16T09:31:13.83" personId="{556C3DC0-D6A1-4BB0-8FC7-44D4B3FA6C99}" id="{78E17B51-38FE-4F46-A7DB-BAEF3D4CB0A8}">
    <text>Randbedingungen nach DIN 18599-10 Seite 17</text>
  </threadedComment>
  <threadedComment ref="F61" dT="2026-03-11T14:47:15.73" personId="{556C3DC0-D6A1-4BB0-8FC7-44D4B3FA6C99}" id="{BDD163D8-E2F6-4ED3-BB6C-52C8B9CD9FD8}">
    <text>Annahme Wohnfläche</text>
  </threadedComment>
  <threadedComment ref="B66" dT="2026-03-16T08:26:28.06" personId="{556C3DC0-D6A1-4BB0-8FC7-44D4B3FA6C99}" id="{A2766C54-C0CE-4496-8473-ADE3622320B7}">
    <text>Keine monatl. Sondern jährliche Bilanzierung</text>
  </threadedComment>
  <threadedComment ref="F67" dT="2026-03-16T08:34:56.34" personId="{556C3DC0-D6A1-4BB0-8FC7-44D4B3FA6C99}" id="{4C715B20-832D-4ED8-AB2D-F7D454C66E94}">
    <text>Heizgradtage</text>
  </threadedComment>
  <threadedComment ref="H67" dT="2026-03-16T08:50:36.94" personId="{556C3DC0-D6A1-4BB0-8FC7-44D4B3FA6C99}" id="{B2094F6B-AF46-4D28-B411-CEFC3D9288E1}">
    <text>24 h Faktor zur Umrechnung von Tagen in Stunden
/1000 Umrechnung von Wattstunden in Kilowattstunden</text>
  </threadedComment>
  <threadedComment ref="F69" dT="2026-03-16T08:52:14.20" personId="{556C3DC0-D6A1-4BB0-8FC7-44D4B3FA6C99}" id="{74AE4D76-A303-43D5-8351-69DAC6877EFB}">
    <text>Langjähriges Mittel (20 Jahre) für Regensburg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78C6-0F28-46FD-AD16-99F00C06116E}">
  <dimension ref="A1:AS184"/>
  <sheetViews>
    <sheetView tabSelected="1" topLeftCell="U44" zoomScale="115" zoomScaleNormal="115" workbookViewId="0">
      <selection activeCell="AM49" sqref="AM49:AN49"/>
    </sheetView>
  </sheetViews>
  <sheetFormatPr baseColWidth="10" defaultRowHeight="15" outlineLevelCol="1" x14ac:dyDescent="0.25"/>
  <cols>
    <col min="1" max="1" width="106" customWidth="1"/>
    <col min="2" max="3" width="19.28515625" style="28" customWidth="1" outlineLevel="1"/>
    <col min="4" max="5" width="18.85546875" style="28" customWidth="1" outlineLevel="1"/>
    <col min="6" max="6" width="20.28515625" customWidth="1" outlineLevel="1"/>
    <col min="7" max="7" width="33" customWidth="1" outlineLevel="1"/>
    <col min="8" max="8" width="6" customWidth="1" outlineLevel="1"/>
    <col min="9" max="9" width="2.140625" customWidth="1" outlineLevel="1"/>
    <col min="10" max="10" width="5" customWidth="1" outlineLevel="1"/>
    <col min="11" max="11" width="2.85546875" customWidth="1" outlineLevel="1"/>
    <col min="12" max="12" width="5.7109375" customWidth="1" outlineLevel="1"/>
    <col min="13" max="13" width="2.28515625" customWidth="1" outlineLevel="1"/>
    <col min="14" max="14" width="5.85546875" customWidth="1" outlineLevel="1"/>
    <col min="15" max="15" width="6.28515625" customWidth="1" outlineLevel="1"/>
    <col min="16" max="16" width="1.85546875" customWidth="1" outlineLevel="1"/>
    <col min="17" max="17" width="5.140625" customWidth="1" outlineLevel="1"/>
    <col min="18" max="18" width="1.7109375" customWidth="1" outlineLevel="1"/>
    <col min="19" max="19" width="6.140625" customWidth="1" outlineLevel="1"/>
    <col min="20" max="20" width="1.42578125" customWidth="1" outlineLevel="1"/>
    <col min="21" max="21" width="5.85546875" customWidth="1" outlineLevel="1"/>
    <col min="22" max="22" width="8.140625" customWidth="1" outlineLevel="1"/>
    <col min="23" max="23" width="2.5703125" customWidth="1" outlineLevel="1"/>
    <col min="24" max="24" width="5.5703125" customWidth="1" outlineLevel="1"/>
    <col min="25" max="25" width="3.5703125" customWidth="1" outlineLevel="1"/>
    <col min="26" max="26" width="6.140625" customWidth="1" outlineLevel="1"/>
    <col min="27" max="27" width="11.42578125" outlineLevel="1"/>
    <col min="28" max="28" width="40.5703125" customWidth="1" outlineLevel="1"/>
    <col min="29" max="29" width="17.7109375" customWidth="1" outlineLevel="1"/>
    <col min="30" max="30" width="13.85546875" customWidth="1"/>
    <col min="31" max="31" width="16.42578125" customWidth="1"/>
    <col min="33" max="33" width="8.85546875" customWidth="1"/>
    <col min="34" max="34" width="13.42578125" customWidth="1"/>
    <col min="35" max="35" width="2" customWidth="1"/>
    <col min="36" max="36" width="5.28515625" customWidth="1"/>
    <col min="37" max="37" width="2.7109375" customWidth="1"/>
    <col min="39" max="39" width="4.5703125" customWidth="1"/>
    <col min="40" max="40" width="12.140625" customWidth="1"/>
    <col min="41" max="41" width="4.7109375" customWidth="1"/>
    <col min="42" max="42" width="13.140625" customWidth="1"/>
    <col min="43" max="43" width="2" customWidth="1"/>
    <col min="44" max="44" width="16.85546875" customWidth="1"/>
    <col min="45" max="45" width="19.5703125" customWidth="1"/>
  </cols>
  <sheetData>
    <row r="1" spans="8:42" ht="21" hidden="1" x14ac:dyDescent="0.35">
      <c r="H1" s="99" t="s">
        <v>107</v>
      </c>
      <c r="I1" s="147"/>
      <c r="J1" s="147"/>
      <c r="K1" s="147"/>
      <c r="L1" s="147"/>
      <c r="M1" s="147"/>
      <c r="N1" s="147"/>
      <c r="O1" s="199"/>
      <c r="P1" s="19"/>
      <c r="Q1" s="19"/>
      <c r="R1" s="19"/>
      <c r="S1" s="19"/>
      <c r="T1" s="19"/>
      <c r="U1" s="20"/>
      <c r="V1" s="19"/>
      <c r="W1" s="19"/>
      <c r="X1" s="19"/>
      <c r="Y1" s="19"/>
      <c r="Z1" s="19"/>
      <c r="AA1" s="20"/>
      <c r="AB1" s="468" t="s">
        <v>0</v>
      </c>
      <c r="AC1" s="470"/>
      <c r="AD1" s="468" t="s">
        <v>1</v>
      </c>
      <c r="AE1" s="469"/>
      <c r="AF1" s="469"/>
      <c r="AG1" s="470"/>
      <c r="AH1" s="468" t="s">
        <v>2</v>
      </c>
      <c r="AI1" s="469"/>
      <c r="AJ1" s="469"/>
      <c r="AK1" s="469"/>
      <c r="AL1" s="469"/>
      <c r="AM1" s="469"/>
      <c r="AN1" s="469"/>
      <c r="AO1" s="469"/>
      <c r="AP1" s="470"/>
    </row>
    <row r="2" spans="8:42" hidden="1" x14ac:dyDescent="0.25">
      <c r="H2" s="5" t="s">
        <v>104</v>
      </c>
      <c r="I2" s="58"/>
      <c r="J2" s="58"/>
      <c r="K2" s="58"/>
      <c r="L2" s="58"/>
      <c r="M2" s="58"/>
      <c r="N2" s="58"/>
      <c r="O2" s="74"/>
      <c r="P2" s="58"/>
      <c r="Q2" s="58"/>
      <c r="R2" s="58"/>
      <c r="S2" s="58"/>
      <c r="T2" s="58"/>
      <c r="U2" s="75"/>
      <c r="V2" s="58"/>
      <c r="W2" s="58"/>
      <c r="X2" s="58"/>
      <c r="Y2" s="58"/>
      <c r="Z2" s="58"/>
      <c r="AA2" s="75"/>
      <c r="AB2" s="84"/>
      <c r="AC2" s="85"/>
      <c r="AD2" s="84"/>
      <c r="AE2" s="52"/>
      <c r="AF2" s="52"/>
      <c r="AG2" s="85"/>
      <c r="AH2" s="84"/>
      <c r="AI2" s="52"/>
      <c r="AJ2" s="52"/>
      <c r="AK2" s="52"/>
      <c r="AL2" s="52"/>
      <c r="AM2" s="52"/>
      <c r="AN2" s="52"/>
      <c r="AO2" s="52"/>
      <c r="AP2" s="85"/>
    </row>
    <row r="3" spans="8:42" hidden="1" x14ac:dyDescent="0.25">
      <c r="H3" s="1"/>
      <c r="O3" s="21" t="s">
        <v>37</v>
      </c>
      <c r="U3" s="22"/>
      <c r="AA3" s="22"/>
      <c r="AB3" s="76" t="s">
        <v>106</v>
      </c>
      <c r="AC3" s="83"/>
      <c r="AD3" s="76" t="s">
        <v>115</v>
      </c>
      <c r="AE3" s="91"/>
      <c r="AF3" s="91"/>
      <c r="AG3" s="83"/>
      <c r="AH3" s="76" t="s">
        <v>115</v>
      </c>
      <c r="AI3" s="91"/>
      <c r="AJ3" s="91"/>
      <c r="AK3" s="91"/>
      <c r="AL3" s="91"/>
      <c r="AM3" s="91"/>
      <c r="AN3" s="91"/>
      <c r="AO3" s="91"/>
      <c r="AP3" s="83"/>
    </row>
    <row r="4" spans="8:42" hidden="1" x14ac:dyDescent="0.25">
      <c r="H4" s="1"/>
      <c r="O4" s="21" t="s">
        <v>105</v>
      </c>
      <c r="U4" s="22"/>
      <c r="AA4" s="22"/>
      <c r="AB4" s="76" t="s">
        <v>106</v>
      </c>
      <c r="AC4" s="83"/>
      <c r="AD4" s="76" t="s">
        <v>115</v>
      </c>
      <c r="AE4" s="91"/>
      <c r="AF4" s="91"/>
      <c r="AG4" s="83"/>
      <c r="AH4" s="76" t="s">
        <v>115</v>
      </c>
      <c r="AI4" s="91"/>
      <c r="AJ4" s="91"/>
      <c r="AK4" s="91"/>
      <c r="AL4" s="91"/>
      <c r="AM4" s="91"/>
      <c r="AN4" s="91"/>
      <c r="AO4" s="91"/>
      <c r="AP4" s="83"/>
    </row>
    <row r="5" spans="8:42" hidden="1" x14ac:dyDescent="0.25">
      <c r="H5" s="1"/>
      <c r="O5" s="21" t="s">
        <v>108</v>
      </c>
      <c r="U5" s="22"/>
      <c r="V5" t="s">
        <v>121</v>
      </c>
      <c r="AA5" s="22"/>
      <c r="AB5" s="76" t="s">
        <v>106</v>
      </c>
      <c r="AC5" s="83"/>
      <c r="AD5" s="76" t="s">
        <v>106</v>
      </c>
      <c r="AE5" s="91"/>
      <c r="AF5" s="91"/>
      <c r="AG5" s="83"/>
      <c r="AH5" s="76" t="s">
        <v>115</v>
      </c>
      <c r="AI5" s="91"/>
      <c r="AJ5" s="91"/>
      <c r="AK5" s="91"/>
      <c r="AL5" s="91"/>
      <c r="AM5" s="91"/>
      <c r="AN5" s="91"/>
      <c r="AO5" s="91"/>
      <c r="AP5" s="83"/>
    </row>
    <row r="6" spans="8:42" hidden="1" x14ac:dyDescent="0.25">
      <c r="H6" s="3"/>
      <c r="I6" s="59"/>
      <c r="J6" s="59"/>
      <c r="K6" s="59"/>
      <c r="L6" s="59"/>
      <c r="M6" s="59"/>
      <c r="N6" s="59"/>
      <c r="O6" s="68"/>
      <c r="P6" s="59"/>
      <c r="Q6" s="59"/>
      <c r="R6" s="59"/>
      <c r="S6" s="59"/>
      <c r="T6" s="59"/>
      <c r="U6" s="69"/>
      <c r="V6" s="59"/>
      <c r="W6" s="59"/>
      <c r="X6" s="59"/>
      <c r="Y6" s="59"/>
      <c r="Z6" s="59"/>
      <c r="AA6" s="69"/>
      <c r="AB6" s="86"/>
      <c r="AC6" s="87"/>
      <c r="AD6" s="86"/>
      <c r="AE6" s="88"/>
      <c r="AF6" s="88"/>
      <c r="AG6" s="87"/>
      <c r="AH6" s="86"/>
      <c r="AI6" s="88"/>
      <c r="AJ6" s="88"/>
      <c r="AK6" s="88"/>
      <c r="AL6" s="88"/>
      <c r="AM6" s="88"/>
      <c r="AN6" s="88"/>
      <c r="AO6" s="88"/>
      <c r="AP6" s="87"/>
    </row>
    <row r="7" spans="8:42" hidden="1" x14ac:dyDescent="0.25">
      <c r="H7" s="1" t="s">
        <v>61</v>
      </c>
      <c r="O7" s="21"/>
      <c r="U7" s="22"/>
      <c r="AA7" s="22"/>
      <c r="AB7" s="76"/>
      <c r="AC7" s="83"/>
      <c r="AD7" s="76"/>
      <c r="AE7" s="91"/>
      <c r="AF7" s="91"/>
      <c r="AG7" s="83"/>
      <c r="AH7" s="76"/>
      <c r="AI7" s="91"/>
      <c r="AJ7" s="91"/>
      <c r="AK7" s="91"/>
      <c r="AL7" s="91"/>
      <c r="AM7" s="91"/>
      <c r="AN7" s="91"/>
      <c r="AO7" s="91"/>
      <c r="AP7" s="83"/>
    </row>
    <row r="8" spans="8:42" hidden="1" x14ac:dyDescent="0.25">
      <c r="H8" s="1"/>
      <c r="O8" s="21" t="s">
        <v>109</v>
      </c>
      <c r="U8" s="22"/>
      <c r="AA8" s="22"/>
      <c r="AB8" s="76" t="s">
        <v>106</v>
      </c>
      <c r="AC8" s="83"/>
      <c r="AD8" s="76" t="s">
        <v>115</v>
      </c>
      <c r="AE8" s="91"/>
      <c r="AF8" s="91"/>
      <c r="AG8" s="83"/>
      <c r="AH8" s="76" t="s">
        <v>115</v>
      </c>
      <c r="AI8" s="91"/>
      <c r="AJ8" s="91"/>
      <c r="AK8" s="91"/>
      <c r="AL8" s="91"/>
      <c r="AM8" s="91"/>
      <c r="AN8" s="91"/>
      <c r="AO8" s="91"/>
      <c r="AP8" s="83"/>
    </row>
    <row r="9" spans="8:42" hidden="1" x14ac:dyDescent="0.25">
      <c r="H9" s="1"/>
      <c r="O9" s="21" t="s">
        <v>124</v>
      </c>
      <c r="U9" s="22"/>
      <c r="AA9" s="22"/>
      <c r="AB9" s="76" t="s">
        <v>106</v>
      </c>
      <c r="AC9" s="83"/>
      <c r="AD9" s="76" t="s">
        <v>115</v>
      </c>
      <c r="AE9" s="91"/>
      <c r="AF9" s="91"/>
      <c r="AG9" s="83"/>
      <c r="AH9" s="76" t="s">
        <v>115</v>
      </c>
      <c r="AI9" s="91"/>
      <c r="AJ9" s="91"/>
      <c r="AK9" s="91"/>
      <c r="AL9" s="91"/>
      <c r="AM9" s="91"/>
      <c r="AN9" s="91"/>
      <c r="AO9" s="91"/>
      <c r="AP9" s="83"/>
    </row>
    <row r="10" spans="8:42" hidden="1" x14ac:dyDescent="0.25">
      <c r="H10" s="1"/>
      <c r="O10" s="21" t="s">
        <v>128</v>
      </c>
      <c r="U10" s="22"/>
      <c r="AA10" s="22"/>
      <c r="AB10" s="76" t="s">
        <v>106</v>
      </c>
      <c r="AC10" s="83"/>
      <c r="AD10" s="76" t="s">
        <v>115</v>
      </c>
      <c r="AE10" s="91"/>
      <c r="AF10" s="91"/>
      <c r="AG10" s="83"/>
      <c r="AH10" s="76" t="s">
        <v>115</v>
      </c>
      <c r="AI10" s="91"/>
      <c r="AJ10" s="91"/>
      <c r="AK10" s="91"/>
      <c r="AL10" s="91"/>
      <c r="AM10" s="91"/>
      <c r="AN10" s="91"/>
      <c r="AO10" s="91"/>
      <c r="AP10" s="83"/>
    </row>
    <row r="11" spans="8:42" hidden="1" x14ac:dyDescent="0.25">
      <c r="H11" s="1"/>
      <c r="O11" s="21" t="s">
        <v>110</v>
      </c>
      <c r="U11" s="22"/>
      <c r="AA11" s="22"/>
      <c r="AB11" s="76" t="s">
        <v>106</v>
      </c>
      <c r="AC11" s="83"/>
      <c r="AD11" s="76" t="s">
        <v>115</v>
      </c>
      <c r="AE11" s="91"/>
      <c r="AF11" s="91"/>
      <c r="AG11" s="83"/>
      <c r="AH11" s="76" t="s">
        <v>115</v>
      </c>
      <c r="AI11" s="91"/>
      <c r="AJ11" s="91"/>
      <c r="AK11" s="91"/>
      <c r="AL11" s="91"/>
      <c r="AM11" s="91"/>
      <c r="AN11" s="91"/>
      <c r="AO11" s="91"/>
      <c r="AP11" s="83"/>
    </row>
    <row r="12" spans="8:42" hidden="1" x14ac:dyDescent="0.25">
      <c r="H12" s="1"/>
      <c r="O12" s="21" t="s">
        <v>111</v>
      </c>
      <c r="U12" s="22"/>
      <c r="AA12" s="22"/>
      <c r="AB12" s="76" t="s">
        <v>106</v>
      </c>
      <c r="AC12" s="83"/>
      <c r="AD12" s="76" t="s">
        <v>106</v>
      </c>
      <c r="AE12" s="91"/>
      <c r="AF12" s="91"/>
      <c r="AG12" s="83"/>
      <c r="AH12" s="76" t="s">
        <v>115</v>
      </c>
      <c r="AI12" s="91"/>
      <c r="AJ12" s="91"/>
      <c r="AK12" s="91"/>
      <c r="AL12" s="91"/>
      <c r="AM12" s="91"/>
      <c r="AN12" s="91"/>
      <c r="AO12" s="91"/>
      <c r="AP12" s="83"/>
    </row>
    <row r="13" spans="8:42" hidden="1" x14ac:dyDescent="0.25">
      <c r="H13" s="1"/>
      <c r="O13" s="21" t="s">
        <v>114</v>
      </c>
      <c r="U13" s="22"/>
      <c r="AA13" s="22"/>
      <c r="AB13" s="76" t="s">
        <v>106</v>
      </c>
      <c r="AC13" s="83"/>
      <c r="AD13" s="76" t="s">
        <v>106</v>
      </c>
      <c r="AE13" s="91"/>
      <c r="AF13" s="91"/>
      <c r="AG13" s="83"/>
      <c r="AH13" s="76" t="s">
        <v>115</v>
      </c>
      <c r="AI13" s="91"/>
      <c r="AJ13" s="91"/>
      <c r="AK13" s="91"/>
      <c r="AL13" s="91"/>
      <c r="AM13" s="91"/>
      <c r="AN13" s="91"/>
      <c r="AO13" s="91"/>
      <c r="AP13" s="83"/>
    </row>
    <row r="14" spans="8:42" hidden="1" x14ac:dyDescent="0.25">
      <c r="H14" s="1"/>
      <c r="O14" s="21" t="s">
        <v>112</v>
      </c>
      <c r="U14" s="22"/>
      <c r="V14" t="s">
        <v>113</v>
      </c>
      <c r="AA14" s="22"/>
      <c r="AB14" s="76" t="s">
        <v>106</v>
      </c>
      <c r="AC14" s="83"/>
      <c r="AD14" s="76" t="s">
        <v>106</v>
      </c>
      <c r="AE14" s="91"/>
      <c r="AF14" s="91"/>
      <c r="AG14" s="83"/>
      <c r="AH14" s="76" t="s">
        <v>115</v>
      </c>
      <c r="AI14" s="91"/>
      <c r="AJ14" s="91"/>
      <c r="AK14" s="91"/>
      <c r="AL14" s="91"/>
      <c r="AM14" s="91"/>
      <c r="AN14" s="91"/>
      <c r="AO14" s="91"/>
      <c r="AP14" s="83"/>
    </row>
    <row r="15" spans="8:42" hidden="1" x14ac:dyDescent="0.25">
      <c r="H15" s="1"/>
      <c r="O15" s="21"/>
      <c r="U15" s="22"/>
      <c r="AA15" s="22"/>
      <c r="AB15" s="76"/>
      <c r="AC15" s="83"/>
      <c r="AD15" s="76"/>
      <c r="AE15" s="91"/>
      <c r="AF15" s="91"/>
      <c r="AG15" s="83"/>
      <c r="AH15" s="76"/>
      <c r="AI15" s="91"/>
      <c r="AJ15" s="91"/>
      <c r="AK15" s="91"/>
      <c r="AL15" s="91"/>
      <c r="AM15" s="91"/>
      <c r="AN15" s="91"/>
      <c r="AO15" s="91"/>
      <c r="AP15" s="83"/>
    </row>
    <row r="16" spans="8:42" hidden="1" x14ac:dyDescent="0.25">
      <c r="H16" s="5" t="s">
        <v>118</v>
      </c>
      <c r="I16" s="58"/>
      <c r="J16" s="58"/>
      <c r="K16" s="58"/>
      <c r="L16" s="58"/>
      <c r="M16" s="58"/>
      <c r="N16" s="58"/>
      <c r="O16" s="74"/>
      <c r="P16" s="58"/>
      <c r="Q16" s="58"/>
      <c r="R16" s="58"/>
      <c r="S16" s="58"/>
      <c r="T16" s="58"/>
      <c r="U16" s="75"/>
      <c r="V16" s="58"/>
      <c r="W16" s="58"/>
      <c r="X16" s="58"/>
      <c r="Y16" s="58"/>
      <c r="Z16" s="58"/>
      <c r="AA16" s="75"/>
      <c r="AB16" s="74"/>
      <c r="AC16" s="85"/>
      <c r="AD16" s="84"/>
      <c r="AE16" s="52"/>
      <c r="AF16" s="52"/>
      <c r="AG16" s="85"/>
      <c r="AH16" s="84"/>
      <c r="AI16" s="52"/>
      <c r="AJ16" s="52"/>
      <c r="AK16" s="52"/>
      <c r="AL16" s="52"/>
      <c r="AM16" s="52"/>
      <c r="AN16" s="52"/>
      <c r="AO16" s="52"/>
      <c r="AP16" s="85"/>
    </row>
    <row r="17" spans="8:42" hidden="1" x14ac:dyDescent="0.25">
      <c r="H17" s="1"/>
      <c r="O17" s="21" t="s">
        <v>109</v>
      </c>
      <c r="U17" s="22"/>
      <c r="AA17" s="22"/>
      <c r="AB17" s="76" t="s">
        <v>106</v>
      </c>
      <c r="AC17" s="83"/>
      <c r="AD17" s="76" t="s">
        <v>115</v>
      </c>
      <c r="AE17" s="91"/>
      <c r="AF17" s="91"/>
      <c r="AG17" s="83"/>
      <c r="AH17" s="76" t="s">
        <v>115</v>
      </c>
      <c r="AI17" s="91"/>
      <c r="AJ17" s="91"/>
      <c r="AK17" s="91"/>
      <c r="AL17" s="91"/>
      <c r="AM17" s="91"/>
      <c r="AN17" s="91"/>
      <c r="AO17" s="91"/>
      <c r="AP17" s="83"/>
    </row>
    <row r="18" spans="8:42" hidden="1" x14ac:dyDescent="0.25">
      <c r="H18" s="1"/>
      <c r="O18" s="21" t="s">
        <v>124</v>
      </c>
      <c r="U18" s="22"/>
      <c r="AA18" s="22"/>
      <c r="AB18" s="76" t="s">
        <v>106</v>
      </c>
      <c r="AC18" s="83"/>
      <c r="AD18" s="76" t="s">
        <v>115</v>
      </c>
      <c r="AE18" s="91"/>
      <c r="AF18" s="91"/>
      <c r="AG18" s="83"/>
      <c r="AH18" s="76" t="s">
        <v>115</v>
      </c>
      <c r="AI18" s="91"/>
      <c r="AJ18" s="91"/>
      <c r="AK18" s="91"/>
      <c r="AL18" s="91"/>
      <c r="AM18" s="91"/>
      <c r="AN18" s="91"/>
      <c r="AO18" s="91"/>
      <c r="AP18" s="83"/>
    </row>
    <row r="19" spans="8:42" hidden="1" x14ac:dyDescent="0.25">
      <c r="H19" s="1"/>
      <c r="O19" s="21" t="s">
        <v>110</v>
      </c>
      <c r="U19" s="22"/>
      <c r="AA19" s="22"/>
      <c r="AB19" s="76" t="s">
        <v>106</v>
      </c>
      <c r="AC19" s="83"/>
      <c r="AD19" s="76" t="s">
        <v>115</v>
      </c>
      <c r="AE19" s="91"/>
      <c r="AF19" s="91"/>
      <c r="AG19" s="83"/>
      <c r="AH19" s="76" t="s">
        <v>115</v>
      </c>
      <c r="AI19" s="91"/>
      <c r="AJ19" s="91"/>
      <c r="AK19" s="91"/>
      <c r="AL19" s="91"/>
      <c r="AM19" s="91"/>
      <c r="AN19" s="91"/>
      <c r="AO19" s="91"/>
      <c r="AP19" s="83"/>
    </row>
    <row r="20" spans="8:42" hidden="1" x14ac:dyDescent="0.25">
      <c r="H20" s="1"/>
      <c r="O20" s="21" t="s">
        <v>111</v>
      </c>
      <c r="U20" s="22"/>
      <c r="AA20" s="22"/>
      <c r="AB20" s="76" t="s">
        <v>106</v>
      </c>
      <c r="AC20" s="83"/>
      <c r="AD20" s="76" t="s">
        <v>106</v>
      </c>
      <c r="AE20" s="91"/>
      <c r="AF20" s="91"/>
      <c r="AG20" s="83"/>
      <c r="AH20" s="76" t="s">
        <v>115</v>
      </c>
      <c r="AI20" s="91"/>
      <c r="AJ20" s="91"/>
      <c r="AK20" s="91"/>
      <c r="AL20" s="91"/>
      <c r="AM20" s="91"/>
      <c r="AN20" s="91"/>
      <c r="AO20" s="91"/>
      <c r="AP20" s="83"/>
    </row>
    <row r="21" spans="8:42" hidden="1" x14ac:dyDescent="0.25">
      <c r="H21" s="1"/>
      <c r="O21" s="21" t="s">
        <v>114</v>
      </c>
      <c r="U21" s="22"/>
      <c r="AA21" s="22"/>
      <c r="AB21" s="76" t="s">
        <v>106</v>
      </c>
      <c r="AC21" s="83"/>
      <c r="AD21" s="76" t="s">
        <v>106</v>
      </c>
      <c r="AE21" s="91"/>
      <c r="AF21" s="91"/>
      <c r="AG21" s="83"/>
      <c r="AH21" s="76" t="s">
        <v>115</v>
      </c>
      <c r="AI21" s="91"/>
      <c r="AJ21" s="91"/>
      <c r="AK21" s="91"/>
      <c r="AL21" s="91"/>
      <c r="AM21" s="91"/>
      <c r="AN21" s="91"/>
      <c r="AO21" s="91"/>
      <c r="AP21" s="83"/>
    </row>
    <row r="22" spans="8:42" hidden="1" x14ac:dyDescent="0.25">
      <c r="H22" s="1"/>
      <c r="O22" s="21" t="s">
        <v>112</v>
      </c>
      <c r="U22" s="22"/>
      <c r="AA22" s="22"/>
      <c r="AB22" s="76" t="s">
        <v>106</v>
      </c>
      <c r="AC22" s="83"/>
      <c r="AD22" s="76" t="s">
        <v>106</v>
      </c>
      <c r="AE22" s="91"/>
      <c r="AF22" s="91"/>
      <c r="AG22" s="83"/>
      <c r="AH22" s="76" t="s">
        <v>115</v>
      </c>
      <c r="AI22" s="91"/>
      <c r="AJ22" s="91"/>
      <c r="AK22" s="91"/>
      <c r="AL22" s="91"/>
      <c r="AM22" s="91"/>
      <c r="AN22" s="91"/>
      <c r="AO22" s="91"/>
      <c r="AP22" s="83"/>
    </row>
    <row r="23" spans="8:42" hidden="1" x14ac:dyDescent="0.25">
      <c r="H23" s="3"/>
      <c r="I23" s="59"/>
      <c r="J23" s="59"/>
      <c r="K23" s="59"/>
      <c r="L23" s="59"/>
      <c r="M23" s="59"/>
      <c r="N23" s="59"/>
      <c r="O23" s="68"/>
      <c r="P23" s="59"/>
      <c r="Q23" s="59"/>
      <c r="R23" s="59"/>
      <c r="S23" s="59"/>
      <c r="T23" s="59"/>
      <c r="U23" s="69"/>
      <c r="V23" s="59"/>
      <c r="W23" s="59"/>
      <c r="X23" s="59"/>
      <c r="Y23" s="59"/>
      <c r="Z23" s="59"/>
      <c r="AA23" s="69"/>
      <c r="AB23" s="86"/>
      <c r="AC23" s="87"/>
      <c r="AD23" s="86"/>
      <c r="AE23" s="88"/>
      <c r="AF23" s="88"/>
      <c r="AG23" s="87"/>
      <c r="AH23" s="86"/>
      <c r="AI23" s="88"/>
      <c r="AJ23" s="88"/>
      <c r="AK23" s="88"/>
      <c r="AL23" s="88"/>
      <c r="AM23" s="88"/>
      <c r="AN23" s="88"/>
      <c r="AO23" s="88"/>
      <c r="AP23" s="87"/>
    </row>
    <row r="24" spans="8:42" hidden="1" x14ac:dyDescent="0.25">
      <c r="H24" s="5" t="s">
        <v>117</v>
      </c>
      <c r="I24" s="58"/>
      <c r="J24" s="58"/>
      <c r="K24" s="58"/>
      <c r="L24" s="58"/>
      <c r="M24" s="58"/>
      <c r="N24" s="58"/>
      <c r="O24" s="74"/>
      <c r="P24" s="58"/>
      <c r="Q24" s="58"/>
      <c r="R24" s="58"/>
      <c r="S24" s="58"/>
      <c r="T24" s="58"/>
      <c r="U24" s="75"/>
      <c r="V24" s="58"/>
      <c r="W24" s="58"/>
      <c r="X24" s="58"/>
      <c r="Y24" s="58"/>
      <c r="Z24" s="58"/>
      <c r="AA24" s="75"/>
      <c r="AB24" s="74"/>
      <c r="AC24" s="85"/>
      <c r="AD24" s="84"/>
      <c r="AE24" s="52"/>
      <c r="AF24" s="52"/>
      <c r="AG24" s="85"/>
      <c r="AH24" s="84"/>
      <c r="AI24" s="52"/>
      <c r="AJ24" s="52"/>
      <c r="AK24" s="52"/>
      <c r="AL24" s="52"/>
      <c r="AM24" s="52"/>
      <c r="AN24" s="52"/>
      <c r="AO24" s="52"/>
      <c r="AP24" s="85"/>
    </row>
    <row r="25" spans="8:42" hidden="1" x14ac:dyDescent="0.25">
      <c r="H25" s="1"/>
      <c r="O25" s="21" t="s">
        <v>109</v>
      </c>
      <c r="U25" s="22"/>
      <c r="AA25" s="22"/>
      <c r="AB25" s="76" t="s">
        <v>106</v>
      </c>
      <c r="AC25" s="83"/>
      <c r="AD25" s="76" t="s">
        <v>115</v>
      </c>
      <c r="AE25" s="91"/>
      <c r="AF25" s="91"/>
      <c r="AG25" s="83"/>
      <c r="AH25" s="76" t="s">
        <v>115</v>
      </c>
      <c r="AI25" s="91"/>
      <c r="AJ25" s="91"/>
      <c r="AK25" s="91"/>
      <c r="AL25" s="91"/>
      <c r="AM25" s="91"/>
      <c r="AN25" s="91"/>
      <c r="AO25" s="91"/>
      <c r="AP25" s="83"/>
    </row>
    <row r="26" spans="8:42" hidden="1" x14ac:dyDescent="0.25">
      <c r="H26" s="1"/>
      <c r="O26" s="21" t="s">
        <v>124</v>
      </c>
      <c r="U26" s="22"/>
      <c r="AA26" s="22"/>
      <c r="AB26" s="76" t="s">
        <v>106</v>
      </c>
      <c r="AC26" s="83"/>
      <c r="AD26" s="76" t="s">
        <v>115</v>
      </c>
      <c r="AE26" s="91"/>
      <c r="AF26" s="91"/>
      <c r="AG26" s="83"/>
      <c r="AH26" s="76" t="s">
        <v>115</v>
      </c>
      <c r="AI26" s="91"/>
      <c r="AJ26" s="91"/>
      <c r="AK26" s="91"/>
      <c r="AL26" s="91"/>
      <c r="AM26" s="91"/>
      <c r="AN26" s="91"/>
      <c r="AO26" s="91"/>
      <c r="AP26" s="83"/>
    </row>
    <row r="27" spans="8:42" hidden="1" x14ac:dyDescent="0.25">
      <c r="H27" s="1"/>
      <c r="O27" s="21" t="s">
        <v>110</v>
      </c>
      <c r="U27" s="22"/>
      <c r="AA27" s="22"/>
      <c r="AB27" s="76" t="s">
        <v>106</v>
      </c>
      <c r="AC27" s="83"/>
      <c r="AD27" s="76" t="s">
        <v>115</v>
      </c>
      <c r="AE27" s="91"/>
      <c r="AF27" s="91"/>
      <c r="AG27" s="83"/>
      <c r="AH27" s="76" t="s">
        <v>115</v>
      </c>
      <c r="AI27" s="91"/>
      <c r="AJ27" s="91"/>
      <c r="AK27" s="91"/>
      <c r="AL27" s="91"/>
      <c r="AM27" s="91"/>
      <c r="AN27" s="91"/>
      <c r="AO27" s="91"/>
      <c r="AP27" s="83"/>
    </row>
    <row r="28" spans="8:42" hidden="1" x14ac:dyDescent="0.25">
      <c r="H28" s="1"/>
      <c r="O28" s="21" t="s">
        <v>111</v>
      </c>
      <c r="U28" s="22"/>
      <c r="AA28" s="22"/>
      <c r="AB28" s="76" t="s">
        <v>106</v>
      </c>
      <c r="AC28" s="83"/>
      <c r="AD28" s="76" t="s">
        <v>106</v>
      </c>
      <c r="AE28" s="91"/>
      <c r="AF28" s="91"/>
      <c r="AG28" s="83"/>
      <c r="AH28" s="76" t="s">
        <v>115</v>
      </c>
      <c r="AI28" s="91"/>
      <c r="AJ28" s="91"/>
      <c r="AK28" s="91"/>
      <c r="AL28" s="91"/>
      <c r="AM28" s="91"/>
      <c r="AN28" s="91"/>
      <c r="AO28" s="91"/>
      <c r="AP28" s="83"/>
    </row>
    <row r="29" spans="8:42" hidden="1" x14ac:dyDescent="0.25">
      <c r="H29" s="1"/>
      <c r="O29" s="21" t="s">
        <v>114</v>
      </c>
      <c r="U29" s="22"/>
      <c r="AA29" s="22"/>
      <c r="AB29" s="76" t="s">
        <v>106</v>
      </c>
      <c r="AC29" s="83"/>
      <c r="AD29" s="76" t="s">
        <v>106</v>
      </c>
      <c r="AE29" s="91"/>
      <c r="AF29" s="91"/>
      <c r="AG29" s="83"/>
      <c r="AH29" s="76" t="s">
        <v>115</v>
      </c>
      <c r="AI29" s="91"/>
      <c r="AJ29" s="91"/>
      <c r="AK29" s="91"/>
      <c r="AL29" s="91"/>
      <c r="AM29" s="91"/>
      <c r="AN29" s="91"/>
      <c r="AO29" s="91"/>
      <c r="AP29" s="83"/>
    </row>
    <row r="30" spans="8:42" hidden="1" x14ac:dyDescent="0.25">
      <c r="H30" s="1"/>
      <c r="O30" s="21" t="s">
        <v>112</v>
      </c>
      <c r="U30" s="22"/>
      <c r="AA30" s="22"/>
      <c r="AB30" s="76" t="s">
        <v>106</v>
      </c>
      <c r="AC30" s="83"/>
      <c r="AD30" s="76" t="s">
        <v>106</v>
      </c>
      <c r="AE30" s="91"/>
      <c r="AF30" s="91"/>
      <c r="AG30" s="83"/>
      <c r="AH30" s="76" t="s">
        <v>115</v>
      </c>
      <c r="AI30" s="91"/>
      <c r="AJ30" s="91"/>
      <c r="AK30" s="91"/>
      <c r="AL30" s="91"/>
      <c r="AM30" s="91"/>
      <c r="AN30" s="91"/>
      <c r="AO30" s="91"/>
      <c r="AP30" s="83"/>
    </row>
    <row r="31" spans="8:42" hidden="1" x14ac:dyDescent="0.25">
      <c r="H31" s="3"/>
      <c r="I31" s="59"/>
      <c r="J31" s="59"/>
      <c r="K31" s="59"/>
      <c r="L31" s="59"/>
      <c r="M31" s="59"/>
      <c r="N31" s="59"/>
      <c r="O31" s="68"/>
      <c r="P31" s="59"/>
      <c r="Q31" s="59"/>
      <c r="R31" s="59"/>
      <c r="S31" s="59"/>
      <c r="T31" s="59"/>
      <c r="U31" s="69"/>
      <c r="V31" s="59"/>
      <c r="W31" s="59"/>
      <c r="X31" s="59"/>
      <c r="Y31" s="59"/>
      <c r="Z31" s="59"/>
      <c r="AA31" s="69"/>
      <c r="AB31" s="86"/>
      <c r="AC31" s="87"/>
      <c r="AD31" s="86"/>
      <c r="AE31" s="88"/>
      <c r="AF31" s="88"/>
      <c r="AG31" s="87"/>
      <c r="AH31" s="86"/>
      <c r="AI31" s="88"/>
      <c r="AJ31" s="88"/>
      <c r="AK31" s="88"/>
      <c r="AL31" s="88"/>
      <c r="AM31" s="88"/>
      <c r="AN31" s="88"/>
      <c r="AO31" s="88"/>
      <c r="AP31" s="87"/>
    </row>
    <row r="32" spans="8:42" hidden="1" x14ac:dyDescent="0.25">
      <c r="H32" s="5" t="s">
        <v>119</v>
      </c>
      <c r="I32" s="58"/>
      <c r="J32" s="58"/>
      <c r="K32" s="58"/>
      <c r="L32" s="58"/>
      <c r="M32" s="58"/>
      <c r="N32" s="58"/>
      <c r="O32" s="74"/>
      <c r="P32" s="58"/>
      <c r="Q32" s="58"/>
      <c r="R32" s="58"/>
      <c r="S32" s="58"/>
      <c r="T32" s="58"/>
      <c r="U32" s="75"/>
      <c r="V32" s="58"/>
      <c r="W32" s="58"/>
      <c r="X32" s="58"/>
      <c r="Y32" s="58"/>
      <c r="Z32" s="58"/>
      <c r="AA32" s="75"/>
      <c r="AB32" s="74"/>
      <c r="AC32" s="85"/>
      <c r="AD32" s="84"/>
      <c r="AE32" s="52"/>
      <c r="AF32" s="52"/>
      <c r="AG32" s="85"/>
      <c r="AH32" s="84"/>
      <c r="AI32" s="52"/>
      <c r="AJ32" s="52"/>
      <c r="AK32" s="52"/>
      <c r="AL32" s="52"/>
      <c r="AM32" s="52"/>
      <c r="AN32" s="52"/>
      <c r="AO32" s="52"/>
      <c r="AP32" s="85"/>
    </row>
    <row r="33" spans="1:42" hidden="1" x14ac:dyDescent="0.25">
      <c r="H33" s="1"/>
      <c r="O33" s="21" t="s">
        <v>109</v>
      </c>
      <c r="U33" s="22"/>
      <c r="AA33" s="22"/>
      <c r="AB33" s="76" t="s">
        <v>106</v>
      </c>
      <c r="AC33" s="83"/>
      <c r="AD33" s="76" t="s">
        <v>115</v>
      </c>
      <c r="AE33" s="91"/>
      <c r="AF33" s="91"/>
      <c r="AG33" s="83"/>
      <c r="AH33" s="76" t="s">
        <v>115</v>
      </c>
      <c r="AI33" s="91"/>
      <c r="AJ33" s="91"/>
      <c r="AK33" s="91"/>
      <c r="AL33" s="91"/>
      <c r="AM33" s="91"/>
      <c r="AN33" s="91"/>
      <c r="AO33" s="91"/>
      <c r="AP33" s="83"/>
    </row>
    <row r="34" spans="1:42" hidden="1" x14ac:dyDescent="0.25">
      <c r="H34" s="1"/>
      <c r="O34" s="21" t="s">
        <v>124</v>
      </c>
      <c r="U34" s="22"/>
      <c r="AA34" s="22"/>
      <c r="AB34" s="76" t="s">
        <v>106</v>
      </c>
      <c r="AC34" s="83"/>
      <c r="AD34" s="76" t="s">
        <v>115</v>
      </c>
      <c r="AE34" s="91"/>
      <c r="AF34" s="91"/>
      <c r="AG34" s="83"/>
      <c r="AH34" s="76" t="s">
        <v>115</v>
      </c>
      <c r="AI34" s="91"/>
      <c r="AJ34" s="91"/>
      <c r="AK34" s="91"/>
      <c r="AL34" s="91"/>
      <c r="AM34" s="91"/>
      <c r="AN34" s="91"/>
      <c r="AO34" s="91"/>
      <c r="AP34" s="83"/>
    </row>
    <row r="35" spans="1:42" hidden="1" x14ac:dyDescent="0.25">
      <c r="H35" s="1"/>
      <c r="O35" s="21" t="s">
        <v>112</v>
      </c>
      <c r="U35" s="22"/>
      <c r="AA35" s="22"/>
      <c r="AB35" s="76" t="s">
        <v>106</v>
      </c>
      <c r="AC35" s="83"/>
      <c r="AD35" s="76" t="s">
        <v>106</v>
      </c>
      <c r="AE35" s="91"/>
      <c r="AF35" s="91"/>
      <c r="AG35" s="83"/>
      <c r="AH35" s="76" t="s">
        <v>115</v>
      </c>
      <c r="AI35" s="91"/>
      <c r="AJ35" s="91"/>
      <c r="AK35" s="91"/>
      <c r="AL35" s="91"/>
      <c r="AM35" s="91"/>
      <c r="AN35" s="91"/>
      <c r="AO35" s="91"/>
      <c r="AP35" s="83"/>
    </row>
    <row r="36" spans="1:42" hidden="1" x14ac:dyDescent="0.25">
      <c r="H36" s="3"/>
      <c r="I36" s="59"/>
      <c r="J36" s="59"/>
      <c r="K36" s="59"/>
      <c r="L36" s="59"/>
      <c r="M36" s="59"/>
      <c r="N36" s="59"/>
      <c r="O36" s="68"/>
      <c r="P36" s="59"/>
      <c r="Q36" s="59"/>
      <c r="R36" s="59"/>
      <c r="S36" s="59"/>
      <c r="T36" s="59"/>
      <c r="U36" s="69"/>
      <c r="V36" s="59"/>
      <c r="W36" s="59"/>
      <c r="X36" s="59"/>
      <c r="Y36" s="59"/>
      <c r="Z36" s="59"/>
      <c r="AA36" s="69"/>
      <c r="AB36" s="86"/>
      <c r="AC36" s="87"/>
      <c r="AD36" s="86"/>
      <c r="AE36" s="88"/>
      <c r="AF36" s="88"/>
      <c r="AG36" s="87"/>
      <c r="AH36" s="86"/>
      <c r="AI36" s="88"/>
      <c r="AJ36" s="88"/>
      <c r="AK36" s="88"/>
      <c r="AL36" s="88"/>
      <c r="AM36" s="88"/>
      <c r="AN36" s="88"/>
      <c r="AO36" s="88"/>
      <c r="AP36" s="87"/>
    </row>
    <row r="37" spans="1:42" hidden="1" x14ac:dyDescent="0.25">
      <c r="H37" s="5" t="s">
        <v>120</v>
      </c>
      <c r="I37" s="58"/>
      <c r="J37" s="58"/>
      <c r="K37" s="58"/>
      <c r="L37" s="58"/>
      <c r="M37" s="58"/>
      <c r="N37" s="58"/>
      <c r="O37" s="74"/>
      <c r="P37" s="58"/>
      <c r="Q37" s="58"/>
      <c r="R37" s="58"/>
      <c r="S37" s="58"/>
      <c r="T37" s="58"/>
      <c r="U37" s="75"/>
      <c r="V37" s="58"/>
      <c r="W37" s="58"/>
      <c r="X37" s="58"/>
      <c r="Y37" s="58"/>
      <c r="Z37" s="58"/>
      <c r="AA37" s="75"/>
      <c r="AB37" s="74"/>
      <c r="AC37" s="85"/>
      <c r="AD37" s="84"/>
      <c r="AE37" s="52"/>
      <c r="AF37" s="52"/>
      <c r="AG37" s="85"/>
      <c r="AH37" s="84"/>
      <c r="AI37" s="52"/>
      <c r="AJ37" s="52"/>
      <c r="AK37" s="52"/>
      <c r="AL37" s="52"/>
      <c r="AM37" s="52"/>
      <c r="AN37" s="52"/>
      <c r="AO37" s="52"/>
      <c r="AP37" s="85"/>
    </row>
    <row r="38" spans="1:42" hidden="1" x14ac:dyDescent="0.25">
      <c r="H38" s="1"/>
      <c r="O38" s="21" t="s">
        <v>109</v>
      </c>
      <c r="U38" s="22"/>
      <c r="AA38" s="22"/>
      <c r="AB38" s="76" t="s">
        <v>106</v>
      </c>
      <c r="AC38" s="83"/>
      <c r="AD38" s="76" t="s">
        <v>115</v>
      </c>
      <c r="AE38" s="91"/>
      <c r="AF38" s="91"/>
      <c r="AG38" s="83"/>
      <c r="AH38" s="76" t="s">
        <v>115</v>
      </c>
      <c r="AI38" s="91"/>
      <c r="AJ38" s="91"/>
      <c r="AK38" s="91"/>
      <c r="AL38" s="91"/>
      <c r="AM38" s="91"/>
      <c r="AN38" s="91"/>
      <c r="AO38" s="91"/>
      <c r="AP38" s="83"/>
    </row>
    <row r="39" spans="1:42" hidden="1" x14ac:dyDescent="0.25">
      <c r="H39" s="1"/>
      <c r="O39" s="21" t="s">
        <v>124</v>
      </c>
      <c r="U39" s="22"/>
      <c r="AA39" s="22"/>
      <c r="AB39" s="76" t="s">
        <v>106</v>
      </c>
      <c r="AC39" s="83"/>
      <c r="AD39" s="76" t="s">
        <v>115</v>
      </c>
      <c r="AE39" s="91"/>
      <c r="AF39" s="91"/>
      <c r="AG39" s="83"/>
      <c r="AH39" s="76" t="s">
        <v>115</v>
      </c>
      <c r="AI39" s="91"/>
      <c r="AJ39" s="91"/>
      <c r="AK39" s="91"/>
      <c r="AL39" s="91"/>
      <c r="AM39" s="91"/>
      <c r="AN39" s="91"/>
      <c r="AO39" s="91"/>
      <c r="AP39" s="83"/>
    </row>
    <row r="40" spans="1:42" hidden="1" x14ac:dyDescent="0.25">
      <c r="H40" s="1"/>
      <c r="O40" s="21" t="s">
        <v>110</v>
      </c>
      <c r="U40" s="22"/>
      <c r="AA40" s="22"/>
      <c r="AB40" s="76" t="s">
        <v>106</v>
      </c>
      <c r="AC40" s="83"/>
      <c r="AD40" s="76" t="s">
        <v>115</v>
      </c>
      <c r="AE40" s="91"/>
      <c r="AF40" s="91"/>
      <c r="AG40" s="83"/>
      <c r="AH40" s="76" t="s">
        <v>115</v>
      </c>
      <c r="AI40" s="91"/>
      <c r="AJ40" s="91"/>
      <c r="AK40" s="91"/>
      <c r="AL40" s="91"/>
      <c r="AM40" s="91"/>
      <c r="AN40" s="91"/>
      <c r="AO40" s="91"/>
      <c r="AP40" s="83"/>
    </row>
    <row r="41" spans="1:42" hidden="1" x14ac:dyDescent="0.25">
      <c r="H41" s="1"/>
      <c r="O41" s="21" t="s">
        <v>111</v>
      </c>
      <c r="U41" s="22"/>
      <c r="AA41" s="22"/>
      <c r="AB41" s="76" t="s">
        <v>106</v>
      </c>
      <c r="AC41" s="83"/>
      <c r="AD41" s="76" t="s">
        <v>106</v>
      </c>
      <c r="AE41" s="91"/>
      <c r="AF41" s="91"/>
      <c r="AG41" s="83"/>
      <c r="AH41" s="76" t="s">
        <v>115</v>
      </c>
      <c r="AI41" s="91"/>
      <c r="AJ41" s="91"/>
      <c r="AK41" s="91"/>
      <c r="AL41" s="91"/>
      <c r="AM41" s="91"/>
      <c r="AN41" s="91"/>
      <c r="AO41" s="91"/>
      <c r="AP41" s="83"/>
    </row>
    <row r="42" spans="1:42" hidden="1" x14ac:dyDescent="0.25">
      <c r="H42" s="1"/>
      <c r="O42" s="21" t="s">
        <v>114</v>
      </c>
      <c r="U42" s="22"/>
      <c r="AA42" s="22"/>
      <c r="AB42" s="76" t="s">
        <v>106</v>
      </c>
      <c r="AC42" s="83"/>
      <c r="AD42" s="76" t="s">
        <v>106</v>
      </c>
      <c r="AE42" s="91"/>
      <c r="AF42" s="91"/>
      <c r="AG42" s="83"/>
      <c r="AH42" s="76" t="s">
        <v>115</v>
      </c>
      <c r="AI42" s="91"/>
      <c r="AJ42" s="91"/>
      <c r="AK42" s="91"/>
      <c r="AL42" s="91"/>
      <c r="AM42" s="91"/>
      <c r="AN42" s="91"/>
      <c r="AO42" s="91"/>
      <c r="AP42" s="83"/>
    </row>
    <row r="43" spans="1:42" hidden="1" x14ac:dyDescent="0.25">
      <c r="H43" s="1"/>
      <c r="O43" s="21" t="s">
        <v>112</v>
      </c>
      <c r="U43" s="22"/>
      <c r="AA43" s="22"/>
      <c r="AB43" s="76" t="s">
        <v>106</v>
      </c>
      <c r="AC43" s="83"/>
      <c r="AD43" s="76" t="s">
        <v>106</v>
      </c>
      <c r="AE43" s="91"/>
      <c r="AF43" s="91"/>
      <c r="AG43" s="83"/>
      <c r="AH43" s="76" t="s">
        <v>115</v>
      </c>
      <c r="AI43" s="91"/>
      <c r="AJ43" s="91"/>
      <c r="AK43" s="91"/>
      <c r="AL43" s="91"/>
      <c r="AM43" s="91"/>
      <c r="AN43" s="91"/>
      <c r="AO43" s="91"/>
      <c r="AP43" s="83"/>
    </row>
    <row r="44" spans="1:42" x14ac:dyDescent="0.25">
      <c r="H44" s="3"/>
      <c r="I44" s="59"/>
      <c r="J44" s="59"/>
      <c r="K44" s="59"/>
      <c r="L44" s="59"/>
      <c r="M44" s="59"/>
      <c r="N44" s="59"/>
      <c r="O44" s="68"/>
      <c r="P44" s="59"/>
      <c r="Q44" s="59"/>
      <c r="R44" s="59"/>
      <c r="S44" s="59"/>
      <c r="T44" s="59"/>
      <c r="U44" s="69"/>
      <c r="V44" s="59"/>
      <c r="W44" s="59"/>
      <c r="X44" s="59"/>
      <c r="Y44" s="59"/>
      <c r="Z44" s="59"/>
      <c r="AA44" s="69"/>
      <c r="AB44" s="86"/>
      <c r="AC44" s="87"/>
      <c r="AD44" s="86"/>
      <c r="AE44" s="88"/>
      <c r="AF44" s="88"/>
      <c r="AG44" s="87"/>
      <c r="AH44" s="86"/>
      <c r="AI44" s="88"/>
      <c r="AJ44" s="88"/>
      <c r="AK44" s="88"/>
      <c r="AL44" s="88"/>
      <c r="AM44" s="88"/>
      <c r="AN44" s="88"/>
      <c r="AO44" s="88"/>
      <c r="AP44" s="87"/>
    </row>
    <row r="45" spans="1:42" ht="15.75" thickBot="1" x14ac:dyDescent="0.3">
      <c r="A45" s="92"/>
      <c r="B45" s="93"/>
      <c r="C45" s="93"/>
      <c r="D45" s="93"/>
      <c r="E45" s="93"/>
      <c r="F45" s="93"/>
      <c r="G45" s="94"/>
      <c r="H45" s="95"/>
      <c r="I45" s="95"/>
      <c r="J45" s="95"/>
      <c r="K45" s="95"/>
      <c r="L45" s="95"/>
      <c r="M45" s="95"/>
      <c r="N45" s="95"/>
      <c r="O45" s="101"/>
      <c r="P45" s="95"/>
      <c r="Q45" s="95"/>
      <c r="R45" s="95"/>
      <c r="S45" s="95"/>
      <c r="T45" s="95"/>
      <c r="U45" s="140"/>
      <c r="V45" s="141"/>
      <c r="W45" s="141"/>
      <c r="X45" s="141"/>
      <c r="Y45" s="141"/>
      <c r="Z45" s="141"/>
      <c r="AA45" s="106"/>
      <c r="AB45" s="96"/>
      <c r="AC45" s="97"/>
      <c r="AD45" s="96"/>
      <c r="AE45" s="98"/>
      <c r="AF45" s="98"/>
      <c r="AG45" s="97"/>
      <c r="AH45" s="96"/>
      <c r="AI45" s="98"/>
      <c r="AJ45" s="98"/>
      <c r="AK45" s="98"/>
      <c r="AL45" s="98"/>
      <c r="AM45" s="98"/>
      <c r="AN45" s="98"/>
      <c r="AO45" s="98"/>
      <c r="AP45" s="97"/>
    </row>
    <row r="46" spans="1:42" ht="15" customHeight="1" thickBot="1" x14ac:dyDescent="0.35">
      <c r="A46" s="51" t="s">
        <v>48</v>
      </c>
      <c r="B46" s="27" t="s">
        <v>49</v>
      </c>
      <c r="C46" s="27"/>
      <c r="D46" s="27"/>
      <c r="E46" s="27"/>
      <c r="F46" s="19"/>
      <c r="G46" s="19"/>
      <c r="H46" s="19"/>
      <c r="I46" s="19"/>
      <c r="J46" s="19"/>
      <c r="K46" s="19"/>
      <c r="L46" s="19"/>
      <c r="M46" s="19"/>
      <c r="N46" s="19"/>
      <c r="O46" s="60"/>
      <c r="P46" s="19"/>
      <c r="Q46" s="19"/>
      <c r="R46" s="19"/>
      <c r="S46" s="19"/>
      <c r="T46" s="19"/>
      <c r="U46" s="20"/>
      <c r="V46" s="19"/>
      <c r="W46" s="19"/>
      <c r="X46" s="19"/>
      <c r="Y46" s="19"/>
      <c r="Z46" s="19"/>
      <c r="AA46" s="20"/>
      <c r="AC46" s="22"/>
      <c r="AD46" s="60"/>
      <c r="AE46" s="19"/>
      <c r="AF46" s="19"/>
      <c r="AG46" s="20"/>
      <c r="AH46" s="60"/>
      <c r="AI46" s="19"/>
      <c r="AJ46" s="19"/>
      <c r="AK46" s="19"/>
      <c r="AL46" s="19"/>
      <c r="AM46" s="19"/>
      <c r="AN46" s="19"/>
      <c r="AO46" s="19"/>
      <c r="AP46" s="20"/>
    </row>
    <row r="47" spans="1:42" ht="15" customHeight="1" thickBot="1" x14ac:dyDescent="0.35">
      <c r="A47" s="100"/>
      <c r="O47" s="21"/>
      <c r="U47" s="22"/>
      <c r="AA47" s="22"/>
      <c r="AB47" s="471" t="s">
        <v>0</v>
      </c>
      <c r="AC47" s="471"/>
      <c r="AD47" s="472" t="s">
        <v>1</v>
      </c>
      <c r="AE47" s="471"/>
      <c r="AF47" s="471"/>
      <c r="AG47" s="473"/>
      <c r="AH47" s="472" t="s">
        <v>2</v>
      </c>
      <c r="AI47" s="471"/>
      <c r="AJ47" s="471"/>
      <c r="AK47" s="471"/>
      <c r="AL47" s="471"/>
      <c r="AM47" s="471"/>
      <c r="AN47" s="471"/>
      <c r="AO47" s="471"/>
      <c r="AP47" s="473"/>
    </row>
    <row r="48" spans="1:42" ht="15" customHeight="1" x14ac:dyDescent="0.25">
      <c r="A48" s="21"/>
      <c r="E48" s="44"/>
      <c r="F48" s="17"/>
      <c r="G48" s="38"/>
      <c r="H48" s="38" t="s">
        <v>83</v>
      </c>
      <c r="I48" s="40"/>
      <c r="J48" s="40"/>
      <c r="K48" s="40"/>
      <c r="L48" s="40"/>
      <c r="M48" s="40"/>
      <c r="N48" s="40"/>
      <c r="O48" s="61" t="s">
        <v>24</v>
      </c>
      <c r="P48" s="40"/>
      <c r="Q48" s="40"/>
      <c r="R48" s="40"/>
      <c r="S48" s="40"/>
      <c r="T48" s="40"/>
      <c r="U48" s="64"/>
      <c r="V48" s="474" t="s">
        <v>25</v>
      </c>
      <c r="W48" s="474"/>
      <c r="X48" s="474"/>
      <c r="Y48" s="474"/>
      <c r="Z48" s="475"/>
      <c r="AA48" s="62" t="s">
        <v>37</v>
      </c>
      <c r="AB48" s="145" t="s">
        <v>54</v>
      </c>
      <c r="AC48" s="146" t="s">
        <v>55</v>
      </c>
      <c r="AD48" s="509"/>
      <c r="AE48" s="488"/>
      <c r="AF48" s="488"/>
      <c r="AG48" s="625"/>
      <c r="AH48" s="928" t="s">
        <v>37</v>
      </c>
      <c r="AI48" s="487" t="s">
        <v>17</v>
      </c>
      <c r="AJ48" s="488"/>
      <c r="AK48" s="488"/>
      <c r="AL48" s="489"/>
      <c r="AM48" s="487" t="s">
        <v>21</v>
      </c>
      <c r="AN48" s="489"/>
      <c r="AO48" s="488" t="s">
        <v>591</v>
      </c>
      <c r="AP48" s="625"/>
    </row>
    <row r="49" spans="1:42" ht="14.25" customHeight="1" thickBot="1" x14ac:dyDescent="0.3">
      <c r="A49" s="21"/>
      <c r="B49" s="41"/>
      <c r="C49" s="41"/>
      <c r="D49" s="41"/>
      <c r="E49" s="44"/>
      <c r="F49" s="31"/>
      <c r="G49" s="10"/>
      <c r="H49" s="10"/>
      <c r="I49" s="11"/>
      <c r="J49" s="11"/>
      <c r="K49" s="11"/>
      <c r="L49" s="11"/>
      <c r="M49" s="11"/>
      <c r="N49" s="11"/>
      <c r="O49" s="70"/>
      <c r="P49" s="16"/>
      <c r="Q49" s="16"/>
      <c r="R49" s="16"/>
      <c r="S49" s="16"/>
      <c r="T49" s="16"/>
      <c r="U49" s="66"/>
      <c r="V49" s="466" t="s">
        <v>26</v>
      </c>
      <c r="W49" s="466"/>
      <c r="X49" s="466"/>
      <c r="Y49" s="466"/>
      <c r="Z49" s="467"/>
      <c r="AA49" s="71"/>
      <c r="AB49" s="70"/>
      <c r="AC49" s="14"/>
      <c r="AD49" s="841"/>
      <c r="AE49" s="462"/>
      <c r="AF49" s="462"/>
      <c r="AG49" s="842"/>
      <c r="AH49" s="929"/>
      <c r="AI49" s="461"/>
      <c r="AJ49" s="462"/>
      <c r="AK49" s="462"/>
      <c r="AL49" s="463"/>
      <c r="AM49" s="461"/>
      <c r="AN49" s="463"/>
      <c r="AO49" s="462"/>
      <c r="AP49" s="842"/>
    </row>
    <row r="50" spans="1:42" ht="15.75" thickBot="1" x14ac:dyDescent="0.3">
      <c r="A50" s="21"/>
      <c r="B50" s="41"/>
      <c r="C50" s="44"/>
      <c r="D50" s="41"/>
      <c r="E50" s="44"/>
      <c r="F50" s="23"/>
      <c r="O50" s="332"/>
      <c r="P50" s="323"/>
      <c r="Q50" s="323"/>
      <c r="R50" s="323"/>
      <c r="S50" s="323"/>
      <c r="T50" s="323"/>
      <c r="U50" s="323"/>
      <c r="V50" s="322"/>
      <c r="W50" s="322"/>
      <c r="X50" s="322"/>
      <c r="Y50" s="322"/>
      <c r="Z50" s="322"/>
      <c r="AA50" s="322"/>
      <c r="AB50" s="322"/>
      <c r="AC50" s="322"/>
      <c r="AD50" s="322"/>
      <c r="AE50" s="322"/>
      <c r="AF50" s="322"/>
      <c r="AG50" s="322"/>
      <c r="AH50" s="322"/>
      <c r="AI50" s="322"/>
      <c r="AJ50" s="322"/>
      <c r="AK50" s="322"/>
      <c r="AL50" s="322"/>
      <c r="AM50" s="322"/>
      <c r="AN50" s="322"/>
      <c r="AO50" s="322"/>
      <c r="AP50" s="331"/>
    </row>
    <row r="51" spans="1:42" ht="18" x14ac:dyDescent="0.25">
      <c r="A51" s="21"/>
      <c r="B51" s="41"/>
      <c r="C51" s="44"/>
      <c r="D51" s="41"/>
      <c r="E51" s="44"/>
      <c r="F51" s="17"/>
      <c r="G51" s="38"/>
      <c r="H51" s="38" t="s">
        <v>83</v>
      </c>
      <c r="I51" s="40"/>
      <c r="J51" s="40"/>
      <c r="K51" s="40"/>
      <c r="L51" s="40"/>
      <c r="M51" s="40"/>
      <c r="N51" s="40"/>
      <c r="O51" s="70" t="s">
        <v>27</v>
      </c>
      <c r="P51" s="16"/>
      <c r="Q51" s="16"/>
      <c r="R51" s="16"/>
      <c r="S51" s="16"/>
      <c r="T51" s="16"/>
      <c r="U51" s="66"/>
      <c r="V51" s="466" t="s">
        <v>25</v>
      </c>
      <c r="W51" s="466"/>
      <c r="X51" s="466"/>
      <c r="Y51" s="466"/>
      <c r="Z51" s="467"/>
      <c r="AA51" s="71" t="s">
        <v>37</v>
      </c>
      <c r="AB51" s="65" t="s">
        <v>54</v>
      </c>
      <c r="AC51" s="16" t="s">
        <v>55</v>
      </c>
      <c r="AD51" s="65" t="s">
        <v>37</v>
      </c>
      <c r="AE51" s="14" t="s">
        <v>3</v>
      </c>
      <c r="AF51" s="14" t="s">
        <v>17</v>
      </c>
      <c r="AG51" s="66"/>
      <c r="AH51" s="70" t="s">
        <v>18</v>
      </c>
      <c r="AI51" s="16"/>
      <c r="AJ51" s="13"/>
      <c r="AK51" s="16"/>
      <c r="AL51" s="14" t="s">
        <v>19</v>
      </c>
      <c r="AM51" s="13"/>
      <c r="AN51" s="14" t="s">
        <v>20</v>
      </c>
      <c r="AO51" s="13"/>
      <c r="AP51" s="71" t="s">
        <v>21</v>
      </c>
    </row>
    <row r="52" spans="1:42" x14ac:dyDescent="0.25">
      <c r="A52" s="21"/>
      <c r="B52" s="41"/>
      <c r="C52" s="44"/>
      <c r="D52" s="41"/>
      <c r="E52" s="44"/>
      <c r="F52" s="30"/>
      <c r="G52" s="14"/>
      <c r="H52" s="14"/>
      <c r="I52" s="16"/>
      <c r="J52" s="16"/>
      <c r="K52" s="16"/>
      <c r="L52" s="16"/>
      <c r="M52" s="16"/>
      <c r="N52" s="16"/>
      <c r="O52" s="70"/>
      <c r="P52" s="16"/>
      <c r="Q52" s="16"/>
      <c r="R52" s="16"/>
      <c r="S52" s="16"/>
      <c r="T52" s="16"/>
      <c r="U52" s="66"/>
      <c r="V52" s="466" t="s">
        <v>26</v>
      </c>
      <c r="W52" s="466"/>
      <c r="X52" s="466"/>
      <c r="Y52" s="466"/>
      <c r="Z52" s="467"/>
      <c r="AA52" s="71"/>
      <c r="AB52" s="65"/>
      <c r="AC52" s="16"/>
      <c r="AD52" s="65"/>
      <c r="AE52" s="14"/>
      <c r="AF52" s="14"/>
      <c r="AG52" s="66"/>
      <c r="AH52" s="70"/>
      <c r="AI52" s="16"/>
      <c r="AJ52" s="13"/>
      <c r="AK52" s="16"/>
      <c r="AL52" s="14"/>
      <c r="AM52" s="13"/>
      <c r="AN52" s="14"/>
      <c r="AO52" s="13"/>
      <c r="AP52" s="71"/>
    </row>
    <row r="53" spans="1:42" ht="15" customHeight="1" thickBot="1" x14ac:dyDescent="0.3">
      <c r="A53" s="21"/>
      <c r="B53" s="41"/>
      <c r="C53" s="44"/>
      <c r="D53" s="41"/>
      <c r="E53" s="44"/>
      <c r="F53" s="31"/>
      <c r="G53" s="10"/>
      <c r="H53" s="10"/>
      <c r="I53" s="11"/>
      <c r="J53" s="11"/>
      <c r="K53" s="11"/>
      <c r="L53" s="11"/>
      <c r="M53" s="11"/>
      <c r="N53" s="11"/>
      <c r="O53" s="70"/>
      <c r="P53" s="16"/>
      <c r="Q53" s="16"/>
      <c r="R53" s="16"/>
      <c r="S53" s="16"/>
      <c r="T53" s="16"/>
      <c r="U53" s="66"/>
      <c r="V53" s="466" t="s">
        <v>28</v>
      </c>
      <c r="W53" s="466"/>
      <c r="X53" s="466"/>
      <c r="Y53" s="466"/>
      <c r="Z53" s="467"/>
      <c r="AA53" s="71"/>
      <c r="AB53" s="65"/>
      <c r="AC53" s="16"/>
      <c r="AD53" s="65"/>
      <c r="AE53" s="14"/>
      <c r="AF53" s="14"/>
      <c r="AG53" s="66"/>
      <c r="AH53" s="70"/>
      <c r="AI53" s="16"/>
      <c r="AJ53" s="13"/>
      <c r="AK53" s="16"/>
      <c r="AL53" s="14"/>
      <c r="AM53" s="13"/>
      <c r="AN53" s="14"/>
      <c r="AO53" s="13"/>
      <c r="AP53" s="71"/>
    </row>
    <row r="54" spans="1:42" ht="15.75" thickBot="1" x14ac:dyDescent="0.3">
      <c r="A54" s="21"/>
      <c r="B54" s="41"/>
      <c r="C54" s="41"/>
      <c r="D54" s="41"/>
      <c r="E54" s="44"/>
      <c r="F54" s="23"/>
      <c r="O54" s="330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322"/>
      <c r="AD54" s="323"/>
      <c r="AE54" s="323"/>
      <c r="AF54" s="323"/>
      <c r="AG54" s="323"/>
      <c r="AH54" s="323"/>
      <c r="AI54" s="323"/>
      <c r="AJ54" s="323"/>
      <c r="AK54" s="323"/>
      <c r="AL54" s="323"/>
      <c r="AM54" s="323"/>
      <c r="AN54" s="323"/>
      <c r="AO54" s="323"/>
      <c r="AP54" s="331"/>
    </row>
    <row r="55" spans="1:42" ht="18" x14ac:dyDescent="0.25">
      <c r="A55" s="21"/>
      <c r="B55" s="41"/>
      <c r="C55" s="41"/>
      <c r="D55" s="41"/>
      <c r="E55" s="44"/>
      <c r="F55" s="17"/>
      <c r="G55" s="38"/>
      <c r="H55" s="38" t="s">
        <v>83</v>
      </c>
      <c r="I55" s="40"/>
      <c r="J55" s="40"/>
      <c r="K55" s="40"/>
      <c r="L55" s="40"/>
      <c r="M55" s="40"/>
      <c r="N55" s="40"/>
      <c r="O55" s="70" t="s">
        <v>29</v>
      </c>
      <c r="P55" s="16"/>
      <c r="Q55" s="16"/>
      <c r="R55" s="16"/>
      <c r="S55" s="16"/>
      <c r="T55" s="16"/>
      <c r="U55" s="66"/>
      <c r="V55" s="518" t="s">
        <v>30</v>
      </c>
      <c r="W55" s="518"/>
      <c r="X55" s="519"/>
      <c r="Y55" s="519"/>
      <c r="Z55" s="519"/>
      <c r="AA55" s="71" t="s">
        <v>37</v>
      </c>
      <c r="AB55" s="65" t="s">
        <v>54</v>
      </c>
      <c r="AC55" s="16" t="s">
        <v>55</v>
      </c>
      <c r="AD55" s="65" t="s">
        <v>37</v>
      </c>
      <c r="AE55" s="14" t="s">
        <v>3</v>
      </c>
      <c r="AF55" s="14" t="s">
        <v>17</v>
      </c>
      <c r="AG55" s="66"/>
      <c r="AH55" s="70" t="s">
        <v>18</v>
      </c>
      <c r="AI55" s="16"/>
      <c r="AJ55" s="13"/>
      <c r="AK55" s="16"/>
      <c r="AL55" s="14" t="s">
        <v>19</v>
      </c>
      <c r="AM55" s="13"/>
      <c r="AN55" s="14" t="s">
        <v>20</v>
      </c>
      <c r="AO55" s="13"/>
      <c r="AP55" s="71" t="s">
        <v>21</v>
      </c>
    </row>
    <row r="56" spans="1:42" ht="15.75" thickBot="1" x14ac:dyDescent="0.3">
      <c r="A56" s="21"/>
      <c r="B56" s="32" t="s">
        <v>76</v>
      </c>
      <c r="C56" s="32" t="s">
        <v>51</v>
      </c>
      <c r="D56" s="32" t="s">
        <v>74</v>
      </c>
      <c r="E56" s="46" t="s">
        <v>79</v>
      </c>
      <c r="F56" s="31"/>
      <c r="G56" s="10"/>
      <c r="H56" s="10"/>
      <c r="I56" s="11"/>
      <c r="J56" s="11"/>
      <c r="K56" s="11"/>
      <c r="L56" s="11"/>
      <c r="M56" s="11"/>
      <c r="N56" s="11"/>
      <c r="O56" s="70"/>
      <c r="P56" s="16"/>
      <c r="Q56" s="16"/>
      <c r="R56" s="16"/>
      <c r="S56" s="16"/>
      <c r="T56" s="16"/>
      <c r="U56" s="66"/>
      <c r="V56" s="475" t="s">
        <v>31</v>
      </c>
      <c r="W56" s="475"/>
      <c r="X56" s="517"/>
      <c r="Y56" s="517"/>
      <c r="Z56" s="517"/>
      <c r="AA56" s="71"/>
      <c r="AB56" s="65"/>
      <c r="AC56" s="16"/>
      <c r="AD56" s="65"/>
      <c r="AE56" s="14"/>
      <c r="AF56" s="14"/>
      <c r="AG56" s="66"/>
      <c r="AH56" s="70"/>
      <c r="AI56" s="16"/>
      <c r="AJ56" s="13"/>
      <c r="AK56" s="16"/>
      <c r="AL56" s="14"/>
      <c r="AM56" s="13"/>
      <c r="AN56" s="14"/>
      <c r="AO56" s="13"/>
      <c r="AP56" s="71"/>
    </row>
    <row r="57" spans="1:42" ht="15.75" thickBot="1" x14ac:dyDescent="0.3">
      <c r="A57" s="21"/>
      <c r="B57" s="36" t="s">
        <v>75</v>
      </c>
      <c r="C57" s="47"/>
      <c r="D57" s="33" t="s">
        <v>71</v>
      </c>
      <c r="E57" s="43" t="s">
        <v>73</v>
      </c>
      <c r="F57" s="23"/>
      <c r="O57" s="330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3"/>
      <c r="AE57" s="323"/>
      <c r="AF57" s="323"/>
      <c r="AG57" s="323"/>
      <c r="AH57" s="323"/>
      <c r="AI57" s="323"/>
      <c r="AJ57" s="323"/>
      <c r="AK57" s="323"/>
      <c r="AL57" s="323"/>
      <c r="AM57" s="323"/>
      <c r="AN57" s="323"/>
      <c r="AO57" s="323"/>
      <c r="AP57" s="331"/>
    </row>
    <row r="58" spans="1:42" ht="18" x14ac:dyDescent="0.25">
      <c r="A58" s="21"/>
      <c r="B58" s="36" t="s">
        <v>72</v>
      </c>
      <c r="C58" s="33"/>
      <c r="D58" s="33" t="s">
        <v>72</v>
      </c>
      <c r="E58" s="43"/>
      <c r="F58" s="17"/>
      <c r="G58" s="38"/>
      <c r="H58" s="38" t="s">
        <v>83</v>
      </c>
      <c r="I58" s="40"/>
      <c r="J58" s="40"/>
      <c r="K58" s="40"/>
      <c r="L58" s="40"/>
      <c r="M58" s="40"/>
      <c r="N58" s="40"/>
      <c r="O58" s="70" t="s">
        <v>32</v>
      </c>
      <c r="P58" s="16"/>
      <c r="Q58" s="16"/>
      <c r="R58" s="16"/>
      <c r="S58" s="16"/>
      <c r="T58" s="16"/>
      <c r="U58" s="66"/>
      <c r="V58" s="518" t="s">
        <v>33</v>
      </c>
      <c r="W58" s="518"/>
      <c r="X58" s="519"/>
      <c r="Y58" s="519"/>
      <c r="Z58" s="519"/>
      <c r="AA58" s="71" t="s">
        <v>37</v>
      </c>
      <c r="AB58" s="65" t="s">
        <v>54</v>
      </c>
      <c r="AC58" s="16" t="s">
        <v>55</v>
      </c>
      <c r="AD58" s="65" t="s">
        <v>37</v>
      </c>
      <c r="AE58" s="14" t="s">
        <v>3</v>
      </c>
      <c r="AF58" s="14" t="s">
        <v>17</v>
      </c>
      <c r="AG58" s="66"/>
      <c r="AH58" s="70" t="s">
        <v>18</v>
      </c>
      <c r="AI58" s="16"/>
      <c r="AJ58" s="13"/>
      <c r="AK58" s="16"/>
      <c r="AL58" s="14" t="s">
        <v>19</v>
      </c>
      <c r="AM58" s="13"/>
      <c r="AN58" s="14" t="s">
        <v>20</v>
      </c>
      <c r="AO58" s="13"/>
      <c r="AP58" s="71" t="s">
        <v>21</v>
      </c>
    </row>
    <row r="59" spans="1:42" ht="15" customHeight="1" x14ac:dyDescent="0.25">
      <c r="A59" s="21"/>
      <c r="B59" s="37"/>
      <c r="C59" s="35"/>
      <c r="D59" s="48"/>
      <c r="E59" s="45"/>
      <c r="F59" s="30"/>
      <c r="G59" s="14"/>
      <c r="H59" s="1"/>
      <c r="O59" s="70"/>
      <c r="P59" s="16"/>
      <c r="Q59" s="16"/>
      <c r="R59" s="16"/>
      <c r="S59" s="16"/>
      <c r="T59" s="16"/>
      <c r="U59" s="66"/>
      <c r="V59" s="479" t="s">
        <v>34</v>
      </c>
      <c r="W59" s="479"/>
      <c r="X59" s="480"/>
      <c r="Y59" s="480"/>
      <c r="Z59" s="480"/>
      <c r="AA59" s="71"/>
      <c r="AB59" s="65"/>
      <c r="AC59" s="16"/>
      <c r="AD59" s="65"/>
      <c r="AE59" s="14"/>
      <c r="AF59" s="14"/>
      <c r="AG59" s="66"/>
      <c r="AH59" s="70"/>
      <c r="AI59" s="16"/>
      <c r="AJ59" s="13"/>
      <c r="AK59" s="16"/>
      <c r="AL59" s="14"/>
      <c r="AM59" s="13"/>
      <c r="AN59" s="14"/>
      <c r="AO59" s="13"/>
      <c r="AP59" s="71"/>
    </row>
    <row r="60" spans="1:42" ht="15" customHeight="1" x14ac:dyDescent="0.25">
      <c r="A60" s="21"/>
      <c r="F60" s="30"/>
      <c r="G60" s="14"/>
      <c r="H60" s="1"/>
      <c r="O60" s="70"/>
      <c r="P60" s="16"/>
      <c r="Q60" s="16"/>
      <c r="R60" s="16"/>
      <c r="S60" s="16"/>
      <c r="T60" s="16"/>
      <c r="U60" s="66"/>
      <c r="V60" s="479" t="s">
        <v>35</v>
      </c>
      <c r="W60" s="479"/>
      <c r="X60" s="480"/>
      <c r="Y60" s="480"/>
      <c r="Z60" s="480"/>
      <c r="AA60" s="71"/>
      <c r="AB60" s="65"/>
      <c r="AC60" s="16"/>
      <c r="AD60" s="65"/>
      <c r="AE60" s="14"/>
      <c r="AF60" s="14"/>
      <c r="AG60" s="66"/>
      <c r="AH60" s="70"/>
      <c r="AI60" s="16"/>
      <c r="AJ60" s="13"/>
      <c r="AK60" s="16"/>
      <c r="AL60" s="14"/>
      <c r="AM60" s="13"/>
      <c r="AN60" s="14"/>
      <c r="AO60" s="13"/>
      <c r="AP60" s="71"/>
    </row>
    <row r="61" spans="1:42" ht="15.75" thickBot="1" x14ac:dyDescent="0.3">
      <c r="A61" s="21"/>
      <c r="F61" s="31"/>
      <c r="G61" s="10"/>
      <c r="H61" s="3"/>
      <c r="I61" s="59"/>
      <c r="J61" s="59"/>
      <c r="K61" s="59"/>
      <c r="L61" s="59"/>
      <c r="M61" s="59"/>
      <c r="N61" s="59"/>
      <c r="O61" s="70"/>
      <c r="P61" s="16"/>
      <c r="Q61" s="16"/>
      <c r="R61" s="16"/>
      <c r="S61" s="16"/>
      <c r="T61" s="16"/>
      <c r="U61" s="66"/>
      <c r="V61" s="475" t="s">
        <v>36</v>
      </c>
      <c r="W61" s="475"/>
      <c r="X61" s="517"/>
      <c r="Y61" s="517"/>
      <c r="Z61" s="517"/>
      <c r="AA61" s="71"/>
      <c r="AB61" s="65"/>
      <c r="AC61" s="16"/>
      <c r="AD61" s="65"/>
      <c r="AE61" s="14"/>
      <c r="AF61" s="14"/>
      <c r="AG61" s="66"/>
      <c r="AH61" s="70"/>
      <c r="AI61" s="16"/>
      <c r="AJ61" s="13"/>
      <c r="AK61" s="16"/>
      <c r="AL61" s="14"/>
      <c r="AM61" s="13"/>
      <c r="AN61" s="14"/>
      <c r="AO61" s="13"/>
      <c r="AP61" s="71"/>
    </row>
    <row r="62" spans="1:42" ht="18.75" thickBot="1" x14ac:dyDescent="0.3">
      <c r="A62" s="21"/>
      <c r="B62" s="42" t="s">
        <v>78</v>
      </c>
      <c r="C62" s="44"/>
      <c r="D62" s="41"/>
      <c r="E62" s="44"/>
      <c r="F62" s="879"/>
      <c r="G62" s="880"/>
      <c r="H62" s="880"/>
      <c r="I62" s="880"/>
      <c r="J62" s="880"/>
      <c r="K62" s="880"/>
      <c r="L62" s="880"/>
      <c r="M62" s="880"/>
      <c r="N62" s="880"/>
      <c r="O62" s="880"/>
      <c r="P62" s="880"/>
      <c r="Q62" s="880"/>
      <c r="R62" s="880"/>
      <c r="S62" s="880"/>
      <c r="T62" s="880"/>
      <c r="U62" s="880"/>
      <c r="V62" s="880"/>
      <c r="W62" s="880"/>
      <c r="X62" s="880"/>
      <c r="Y62" s="880"/>
      <c r="Z62" s="880"/>
      <c r="AA62" s="880"/>
      <c r="AB62" s="880"/>
      <c r="AC62" s="880"/>
      <c r="AD62" s="880"/>
      <c r="AE62" s="880"/>
      <c r="AF62" s="880"/>
      <c r="AG62" s="880"/>
      <c r="AH62" s="880"/>
      <c r="AI62" s="880"/>
      <c r="AJ62" s="880"/>
      <c r="AK62" s="880"/>
      <c r="AL62" s="880"/>
      <c r="AM62" s="880"/>
      <c r="AN62" s="880"/>
      <c r="AO62" s="880"/>
      <c r="AP62" s="881"/>
    </row>
    <row r="63" spans="1:42" ht="15" customHeight="1" x14ac:dyDescent="0.25">
      <c r="A63" s="21"/>
      <c r="B63" s="36" t="s">
        <v>77</v>
      </c>
      <c r="C63" s="44"/>
      <c r="D63" s="41"/>
      <c r="E63" s="41"/>
      <c r="F63" s="899"/>
      <c r="G63" s="223" t="s">
        <v>57</v>
      </c>
      <c r="H63" s="875"/>
      <c r="I63" s="875"/>
      <c r="J63" s="875"/>
      <c r="K63" s="875"/>
      <c r="L63" s="875"/>
      <c r="M63" s="875"/>
      <c r="N63" s="876"/>
      <c r="O63" s="453" t="s">
        <v>586</v>
      </c>
      <c r="P63" s="637"/>
      <c r="Q63" s="637"/>
      <c r="R63" s="637"/>
      <c r="S63" s="637"/>
      <c r="T63" s="637"/>
      <c r="U63" s="455"/>
      <c r="AA63" s="22"/>
      <c r="AB63" s="70"/>
      <c r="AC63" s="16"/>
      <c r="AD63" s="70"/>
      <c r="AE63" s="16"/>
      <c r="AF63" s="16"/>
      <c r="AG63" s="66"/>
      <c r="AH63" s="70" t="s">
        <v>444</v>
      </c>
      <c r="AI63" s="16"/>
      <c r="AJ63" s="16"/>
      <c r="AK63" s="16"/>
      <c r="AL63" s="16"/>
      <c r="AM63" s="16"/>
      <c r="AN63" s="16"/>
      <c r="AO63" s="16"/>
      <c r="AP63" s="66"/>
    </row>
    <row r="64" spans="1:42" x14ac:dyDescent="0.25">
      <c r="A64" s="21"/>
      <c r="B64" s="37"/>
      <c r="C64" s="44"/>
      <c r="D64" s="41"/>
      <c r="E64" s="41"/>
      <c r="F64" s="900"/>
      <c r="G64" s="229" t="s">
        <v>56</v>
      </c>
      <c r="H64" s="875"/>
      <c r="I64" s="875"/>
      <c r="J64" s="875"/>
      <c r="K64" s="875"/>
      <c r="L64" s="875"/>
      <c r="M64" s="875"/>
      <c r="N64" s="876"/>
      <c r="O64" s="453"/>
      <c r="P64" s="637"/>
      <c r="Q64" s="637"/>
      <c r="R64" s="637"/>
      <c r="S64" s="637"/>
      <c r="T64" s="637"/>
      <c r="U64" s="455"/>
      <c r="AA64" s="22"/>
      <c r="AB64" s="70"/>
      <c r="AC64" s="16"/>
      <c r="AD64" s="70"/>
      <c r="AE64" s="16"/>
      <c r="AF64" s="16"/>
      <c r="AG64" s="66"/>
      <c r="AH64" s="70"/>
      <c r="AI64" s="16"/>
      <c r="AJ64" s="16"/>
      <c r="AK64" s="16"/>
      <c r="AL64" s="16"/>
      <c r="AM64" s="16"/>
      <c r="AN64" s="16"/>
      <c r="AO64" s="16"/>
      <c r="AP64" s="66"/>
    </row>
    <row r="65" spans="1:45" ht="15.75" thickBot="1" x14ac:dyDescent="0.3">
      <c r="A65" s="21"/>
      <c r="B65" s="865"/>
      <c r="C65" s="44"/>
      <c r="D65" s="41"/>
      <c r="E65" s="41"/>
      <c r="F65" s="229" t="s">
        <v>58</v>
      </c>
      <c r="G65" s="254">
        <f>Berechnungen!B64</f>
        <v>1925.0000000000002</v>
      </c>
      <c r="H65" s="875"/>
      <c r="I65" s="875"/>
      <c r="J65" s="875"/>
      <c r="K65" s="875"/>
      <c r="L65" s="875"/>
      <c r="M65" s="875"/>
      <c r="N65" s="876"/>
      <c r="O65" s="453"/>
      <c r="P65" s="637"/>
      <c r="Q65" s="637"/>
      <c r="R65" s="637"/>
      <c r="S65" s="637"/>
      <c r="T65" s="637"/>
      <c r="U65" s="455"/>
      <c r="AA65" s="642"/>
      <c r="AB65" s="655"/>
      <c r="AC65" s="16"/>
      <c r="AD65" s="655"/>
      <c r="AE65" s="16"/>
      <c r="AF65" s="16"/>
      <c r="AG65" s="655"/>
      <c r="AH65" s="655"/>
      <c r="AI65" s="16"/>
      <c r="AJ65" s="16"/>
      <c r="AK65" s="16"/>
      <c r="AL65" s="16"/>
      <c r="AM65" s="16"/>
      <c r="AN65" s="16"/>
      <c r="AO65" s="16"/>
      <c r="AP65" s="66"/>
    </row>
    <row r="66" spans="1:45" ht="15" customHeight="1" thickBot="1" x14ac:dyDescent="0.3">
      <c r="A66" s="21"/>
      <c r="B66" s="41"/>
      <c r="C66" s="44"/>
      <c r="D66" s="41"/>
      <c r="E66" s="41"/>
      <c r="F66" s="229" t="s">
        <v>59</v>
      </c>
      <c r="G66" s="877"/>
      <c r="H66" s="877"/>
      <c r="I66" s="877"/>
      <c r="J66" s="877"/>
      <c r="K66" s="877"/>
      <c r="L66" s="877"/>
      <c r="M66" s="877"/>
      <c r="N66" s="877"/>
      <c r="O66" s="877"/>
      <c r="P66" s="877"/>
      <c r="Q66" s="877"/>
      <c r="R66" s="877"/>
      <c r="S66" s="877"/>
      <c r="T66" s="877"/>
      <c r="U66" s="877"/>
      <c r="V66" s="877"/>
      <c r="W66" s="877"/>
      <c r="X66" s="877"/>
      <c r="Y66" s="877"/>
      <c r="Z66" s="877"/>
      <c r="AA66" s="877"/>
      <c r="AB66" s="877"/>
      <c r="AC66" s="877"/>
      <c r="AD66" s="877"/>
      <c r="AE66" s="877"/>
      <c r="AF66" s="877"/>
      <c r="AG66" s="877"/>
      <c r="AH66" s="877"/>
      <c r="AI66" s="877"/>
      <c r="AJ66" s="877"/>
      <c r="AK66" s="877"/>
      <c r="AL66" s="877"/>
      <c r="AM66" s="877"/>
      <c r="AN66" s="877"/>
      <c r="AO66" s="877"/>
      <c r="AP66" s="878"/>
    </row>
    <row r="67" spans="1:45" ht="42.75" customHeight="1" x14ac:dyDescent="0.25">
      <c r="A67" s="21"/>
      <c r="B67" s="34" t="s">
        <v>84</v>
      </c>
      <c r="C67" s="49" t="s">
        <v>53</v>
      </c>
      <c r="D67" s="34" t="s">
        <v>52</v>
      </c>
      <c r="E67" s="50" t="s">
        <v>50</v>
      </c>
      <c r="F67" s="901">
        <f>G65+G69</f>
        <v>53618</v>
      </c>
      <c r="G67" s="302" t="s">
        <v>589</v>
      </c>
      <c r="H67" s="450" t="s">
        <v>569</v>
      </c>
      <c r="I67" s="451"/>
      <c r="J67" s="451"/>
      <c r="K67" s="451"/>
      <c r="L67" s="451"/>
      <c r="M67" s="451"/>
      <c r="N67" s="452"/>
      <c r="O67" s="882" t="s">
        <v>349</v>
      </c>
      <c r="P67" s="882"/>
      <c r="Q67" s="882"/>
      <c r="R67" s="882"/>
      <c r="S67" s="882"/>
      <c r="T67" s="882"/>
      <c r="U67" s="883"/>
      <c r="V67" s="311"/>
      <c r="W67" s="311"/>
      <c r="X67" s="311"/>
      <c r="Y67" s="311"/>
      <c r="Z67" s="311"/>
      <c r="AA67" s="312"/>
      <c r="AB67" s="515" t="s">
        <v>262</v>
      </c>
      <c r="AC67" s="516"/>
      <c r="AD67" s="520"/>
      <c r="AE67" s="521"/>
      <c r="AF67" s="521"/>
      <c r="AG67" s="522"/>
      <c r="AH67" s="520"/>
      <c r="AI67" s="521"/>
      <c r="AJ67" s="521"/>
      <c r="AK67" s="521"/>
      <c r="AL67" s="521"/>
      <c r="AM67" s="521"/>
      <c r="AN67" s="521"/>
      <c r="AO67" s="521"/>
      <c r="AP67" s="522"/>
    </row>
    <row r="68" spans="1:45" ht="18.75" thickBot="1" x14ac:dyDescent="0.3">
      <c r="A68" s="21"/>
      <c r="B68" s="41"/>
      <c r="C68" s="41"/>
      <c r="D68" s="41"/>
      <c r="E68" s="41"/>
      <c r="F68" s="902"/>
      <c r="G68" s="139" t="s">
        <v>80</v>
      </c>
      <c r="H68" s="500" t="s">
        <v>570</v>
      </c>
      <c r="I68" s="652"/>
      <c r="J68" s="652"/>
      <c r="K68" s="652"/>
      <c r="L68" s="652"/>
      <c r="M68" s="652"/>
      <c r="N68" s="666"/>
      <c r="O68" s="884">
        <f>AC68</f>
        <v>0.1</v>
      </c>
      <c r="P68" s="884"/>
      <c r="Q68" s="884"/>
      <c r="R68" s="884"/>
      <c r="S68" s="884"/>
      <c r="T68" s="884"/>
      <c r="U68" s="885"/>
      <c r="V68" s="311"/>
      <c r="W68" s="311"/>
      <c r="X68" s="311"/>
      <c r="Y68" s="311"/>
      <c r="Z68" s="311"/>
      <c r="AA68" s="312"/>
      <c r="AB68" s="313" t="s">
        <v>263</v>
      </c>
      <c r="AC68" s="314">
        <v>0.1</v>
      </c>
      <c r="AD68" s="520"/>
      <c r="AE68" s="521"/>
      <c r="AF68" s="521"/>
      <c r="AG68" s="522"/>
      <c r="AH68" s="520"/>
      <c r="AI68" s="521"/>
      <c r="AJ68" s="521"/>
      <c r="AK68" s="521"/>
      <c r="AL68" s="521"/>
      <c r="AM68" s="521"/>
      <c r="AN68" s="521"/>
      <c r="AO68" s="521"/>
      <c r="AP68" s="522"/>
    </row>
    <row r="69" spans="1:45" ht="18.75" thickBot="1" x14ac:dyDescent="0.3">
      <c r="A69" s="21"/>
      <c r="F69" s="903"/>
      <c r="G69" s="898">
        <f>ROUNDUP(Berechnungen!B69,0)</f>
        <v>51693</v>
      </c>
      <c r="H69" s="78" t="s">
        <v>566</v>
      </c>
      <c r="I69" s="660" t="s">
        <v>257</v>
      </c>
      <c r="J69" s="653" t="s">
        <v>522</v>
      </c>
      <c r="K69" s="660" t="s">
        <v>255</v>
      </c>
      <c r="L69" s="653" t="s">
        <v>260</v>
      </c>
      <c r="M69" s="642"/>
      <c r="N69" s="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  <c r="AA69" s="322"/>
      <c r="AB69" s="322"/>
      <c r="AC69" s="322"/>
      <c r="AD69" s="352"/>
      <c r="AE69" s="352"/>
      <c r="AF69" s="352"/>
      <c r="AG69" s="352"/>
      <c r="AH69" s="322"/>
      <c r="AI69" s="322"/>
      <c r="AJ69" s="322"/>
      <c r="AK69" s="322"/>
      <c r="AL69" s="322"/>
      <c r="AM69" s="322"/>
      <c r="AN69" s="322"/>
      <c r="AO69" s="322"/>
      <c r="AP69" s="331"/>
    </row>
    <row r="70" spans="1:45" ht="15" customHeight="1" x14ac:dyDescent="0.25">
      <c r="A70" s="21"/>
      <c r="H70" s="892">
        <f>ROUNDUP(J70+L70,0)</f>
        <v>593</v>
      </c>
      <c r="I70" s="660" t="s">
        <v>257</v>
      </c>
      <c r="J70" s="845">
        <f>Berechnungen!D40</f>
        <v>86.451596000000009</v>
      </c>
      <c r="K70" s="638" t="s">
        <v>255</v>
      </c>
      <c r="L70" s="642">
        <f>H72</f>
        <v>506.20899999999995</v>
      </c>
      <c r="M70" s="642"/>
      <c r="N70" s="22"/>
      <c r="O70" s="488" t="s">
        <v>61</v>
      </c>
      <c r="P70" s="488"/>
      <c r="Q70" s="488"/>
      <c r="R70" s="488"/>
      <c r="S70" s="488"/>
      <c r="T70" s="488"/>
      <c r="U70" s="625"/>
      <c r="V70" s="450" t="s">
        <v>247</v>
      </c>
      <c r="W70" s="451"/>
      <c r="X70" s="451"/>
      <c r="Y70" s="451"/>
      <c r="Z70" s="452"/>
      <c r="AB70" s="509" t="s">
        <v>375</v>
      </c>
      <c r="AC70" s="488"/>
      <c r="AD70" s="217"/>
      <c r="AE70" s="206"/>
      <c r="AF70" s="218"/>
      <c r="AG70" s="219"/>
      <c r="AH70" s="218" t="s">
        <v>122</v>
      </c>
      <c r="AI70" s="218"/>
      <c r="AJ70" s="218"/>
      <c r="AK70" s="218"/>
      <c r="AL70" s="220" t="s">
        <v>261</v>
      </c>
      <c r="AM70" s="218"/>
      <c r="AN70" s="218">
        <v>0</v>
      </c>
      <c r="AO70" s="218" t="s">
        <v>62</v>
      </c>
      <c r="AP70" s="219"/>
    </row>
    <row r="71" spans="1:45" ht="15" customHeight="1" thickBot="1" x14ac:dyDescent="0.3">
      <c r="A71" s="21"/>
      <c r="H71" s="115" t="s">
        <v>268</v>
      </c>
      <c r="I71" s="638" t="s">
        <v>257</v>
      </c>
      <c r="J71" s="639" t="s">
        <v>264</v>
      </c>
      <c r="K71" s="638" t="s">
        <v>255</v>
      </c>
      <c r="L71" s="639" t="s">
        <v>265</v>
      </c>
      <c r="M71" s="638" t="s">
        <v>248</v>
      </c>
      <c r="N71" s="139" t="s">
        <v>266</v>
      </c>
      <c r="O71" s="502"/>
      <c r="P71" s="502"/>
      <c r="Q71" s="502"/>
      <c r="R71" s="502"/>
      <c r="S71" s="502"/>
      <c r="T71" s="502"/>
      <c r="U71" s="886"/>
      <c r="V71" s="258" t="s">
        <v>273</v>
      </c>
      <c r="W71" s="499">
        <f>AN71</f>
        <v>0</v>
      </c>
      <c r="X71" s="499"/>
      <c r="Y71" s="149"/>
      <c r="Z71" s="279"/>
      <c r="AA71" s="59"/>
      <c r="AB71" s="501"/>
      <c r="AC71" s="502"/>
      <c r="AD71" s="21"/>
      <c r="AE71" s="387"/>
      <c r="AF71" s="16"/>
      <c r="AG71" s="66"/>
      <c r="AH71" s="138" t="s">
        <v>272</v>
      </c>
      <c r="AI71" s="11"/>
      <c r="AJ71" s="221"/>
      <c r="AK71" s="11"/>
      <c r="AL71" s="11"/>
      <c r="AM71" s="11"/>
      <c r="AN71" s="222">
        <f>AN70-AN82</f>
        <v>0</v>
      </c>
      <c r="AO71" s="11" t="s">
        <v>62</v>
      </c>
      <c r="AP71" s="67"/>
    </row>
    <row r="72" spans="1:45" ht="19.5" customHeight="1" x14ac:dyDescent="0.25">
      <c r="A72" s="21"/>
      <c r="H72" s="274">
        <f>J72+(L72*N72)</f>
        <v>506.20899999999995</v>
      </c>
      <c r="I72" s="288" t="s">
        <v>257</v>
      </c>
      <c r="J72" s="856">
        <f>O74+O86+O93+O105+O119+O126</f>
        <v>472.43899999999996</v>
      </c>
      <c r="K72" s="288" t="s">
        <v>255</v>
      </c>
      <c r="L72" s="390">
        <f>O68</f>
        <v>0.1</v>
      </c>
      <c r="M72" s="288" t="s">
        <v>248</v>
      </c>
      <c r="N72" s="893">
        <f>W71+X83+X90+X103+X116+X123</f>
        <v>337.7</v>
      </c>
      <c r="O72" s="637" t="s">
        <v>69</v>
      </c>
      <c r="P72" s="637"/>
      <c r="Q72" s="637"/>
      <c r="R72" s="637"/>
      <c r="S72" s="637"/>
      <c r="T72" s="637"/>
      <c r="U72" s="455"/>
      <c r="V72" s="453" t="s">
        <v>116</v>
      </c>
      <c r="W72" s="454"/>
      <c r="X72" s="454"/>
      <c r="Y72" s="454"/>
      <c r="Z72" s="455"/>
      <c r="AA72" s="53"/>
      <c r="AB72" s="90" t="s">
        <v>361</v>
      </c>
      <c r="AC72" s="55"/>
      <c r="AD72" s="79"/>
      <c r="AF72" s="15"/>
      <c r="AG72" s="66"/>
      <c r="AH72" s="16" t="s">
        <v>123</v>
      </c>
      <c r="AI72" s="16"/>
      <c r="AJ72" s="16"/>
      <c r="AK72" s="16"/>
      <c r="AL72" s="16"/>
      <c r="AM72" s="16"/>
      <c r="AN72" s="16"/>
      <c r="AO72" s="16"/>
      <c r="AP72" s="66"/>
      <c r="AQ72" s="58"/>
      <c r="AR72" s="58"/>
      <c r="AS72" s="512" t="s">
        <v>331</v>
      </c>
    </row>
    <row r="73" spans="1:45" ht="19.5" customHeight="1" x14ac:dyDescent="0.25">
      <c r="A73" s="21"/>
      <c r="H73" s="894" t="s">
        <v>267</v>
      </c>
      <c r="I73" s="873"/>
      <c r="J73" s="873"/>
      <c r="K73" s="873"/>
      <c r="L73" s="873"/>
      <c r="M73" s="873"/>
      <c r="N73" s="874"/>
      <c r="O73" s="662" t="s">
        <v>260</v>
      </c>
      <c r="P73" s="638" t="s">
        <v>257</v>
      </c>
      <c r="Q73" s="639" t="s">
        <v>259</v>
      </c>
      <c r="R73" s="640" t="s">
        <v>248</v>
      </c>
      <c r="S73" s="639" t="s">
        <v>256</v>
      </c>
      <c r="T73" s="640" t="s">
        <v>248</v>
      </c>
      <c r="U73" s="204" t="s">
        <v>258</v>
      </c>
      <c r="V73" s="226" t="s">
        <v>256</v>
      </c>
      <c r="W73" s="305" t="s">
        <v>257</v>
      </c>
      <c r="X73" s="305" t="s">
        <v>290</v>
      </c>
      <c r="Y73" s="53" t="s">
        <v>250</v>
      </c>
      <c r="Z73" s="204" t="s">
        <v>288</v>
      </c>
      <c r="AA73" s="53"/>
      <c r="AB73" s="70" t="str">
        <f>'Kat. 1 U-Wert'!B6</f>
        <v>Massive Konstruktion</v>
      </c>
      <c r="AC73" s="15" t="s">
        <v>334</v>
      </c>
      <c r="AD73" s="70"/>
      <c r="AF73" s="15"/>
      <c r="AG73" s="66"/>
      <c r="AH73" s="506" t="s">
        <v>251</v>
      </c>
      <c r="AI73" s="506"/>
      <c r="AJ73" s="506"/>
      <c r="AK73" s="506"/>
      <c r="AL73" s="227">
        <v>0.2</v>
      </c>
      <c r="AM73" s="13" t="s">
        <v>252</v>
      </c>
      <c r="AN73" s="507" t="s">
        <v>253</v>
      </c>
      <c r="AO73" s="444"/>
      <c r="AP73" s="228">
        <v>0.04</v>
      </c>
      <c r="AS73" s="513"/>
    </row>
    <row r="74" spans="1:45" ht="19.5" customHeight="1" x14ac:dyDescent="0.25">
      <c r="A74" s="21"/>
      <c r="H74" s="895"/>
      <c r="I74" s="866"/>
      <c r="J74" s="866"/>
      <c r="K74" s="866"/>
      <c r="L74" s="866"/>
      <c r="M74" s="866"/>
      <c r="N74" s="867"/>
      <c r="O74" s="889">
        <f>Q74*S74*U74</f>
        <v>0</v>
      </c>
      <c r="P74" s="638" t="s">
        <v>257</v>
      </c>
      <c r="Q74" s="639">
        <v>1</v>
      </c>
      <c r="R74" s="640" t="s">
        <v>248</v>
      </c>
      <c r="S74" s="667">
        <f>V75</f>
        <v>0.2535</v>
      </c>
      <c r="T74" s="640" t="s">
        <v>248</v>
      </c>
      <c r="U74" s="230">
        <f>W71</f>
        <v>0</v>
      </c>
      <c r="V74" s="115">
        <f>ROUND(X74/Z74,3)</f>
        <v>0.19500000000000001</v>
      </c>
      <c r="W74" s="224" t="s">
        <v>257</v>
      </c>
      <c r="X74" s="306">
        <v>1</v>
      </c>
      <c r="Y74" s="53" t="s">
        <v>250</v>
      </c>
      <c r="Z74" s="277">
        <f>AH77</f>
        <v>5.14</v>
      </c>
      <c r="AA74" s="53"/>
      <c r="AB74" s="70" t="str">
        <f>'Kat. 1 U-Wert'!B7</f>
        <v>Holzkonstruktion</v>
      </c>
      <c r="AC74" s="15" t="s">
        <v>335</v>
      </c>
      <c r="AD74" s="70"/>
      <c r="AF74" s="15"/>
      <c r="AG74" s="66"/>
      <c r="AH74" s="508" t="s">
        <v>328</v>
      </c>
      <c r="AI74" s="508"/>
      <c r="AJ74" s="508"/>
      <c r="AK74" s="508"/>
      <c r="AL74" s="231">
        <v>0.2</v>
      </c>
      <c r="AM74" s="13" t="s">
        <v>252</v>
      </c>
      <c r="AN74" s="507" t="s">
        <v>254</v>
      </c>
      <c r="AO74" s="444"/>
      <c r="AP74" s="228">
        <v>0.04</v>
      </c>
      <c r="AS74" s="513"/>
    </row>
    <row r="75" spans="1:45" ht="19.5" customHeight="1" thickBot="1" x14ac:dyDescent="0.3">
      <c r="A75" s="21"/>
      <c r="H75" s="895" t="s">
        <v>246</v>
      </c>
      <c r="I75" s="866"/>
      <c r="J75" s="866"/>
      <c r="K75" s="866"/>
      <c r="L75" s="866"/>
      <c r="M75" s="866"/>
      <c r="N75" s="867"/>
      <c r="O75" s="639"/>
      <c r="P75" s="639"/>
      <c r="Q75" s="639"/>
      <c r="R75" s="639"/>
      <c r="S75" s="639"/>
      <c r="T75" s="639"/>
      <c r="U75" s="139"/>
      <c r="V75" s="357">
        <f>X75*Z75</f>
        <v>0.2535</v>
      </c>
      <c r="W75" s="232" t="s">
        <v>257</v>
      </c>
      <c r="X75" s="307">
        <f>V74</f>
        <v>0.19500000000000001</v>
      </c>
      <c r="Y75" t="s">
        <v>248</v>
      </c>
      <c r="Z75" s="233">
        <v>1.3</v>
      </c>
      <c r="AA75" s="53"/>
      <c r="AB75" s="78"/>
      <c r="AC75" s="15"/>
      <c r="AD75" s="79"/>
      <c r="AF75" s="15"/>
      <c r="AG75" s="66"/>
      <c r="AH75" s="386" t="s">
        <v>350</v>
      </c>
      <c r="AP75" s="22"/>
      <c r="AS75" s="513"/>
    </row>
    <row r="76" spans="1:45" ht="19.5" customHeight="1" x14ac:dyDescent="0.25">
      <c r="A76" s="21"/>
      <c r="H76" s="896" t="s">
        <v>269</v>
      </c>
      <c r="I76" s="868" t="s">
        <v>257</v>
      </c>
      <c r="J76" s="869" t="s">
        <v>268</v>
      </c>
      <c r="K76" s="869" t="s">
        <v>250</v>
      </c>
      <c r="L76" s="869" t="s">
        <v>266</v>
      </c>
      <c r="M76" s="865"/>
      <c r="N76" s="870"/>
      <c r="O76" s="639"/>
      <c r="P76" s="639"/>
      <c r="Q76" s="639"/>
      <c r="R76" s="639"/>
      <c r="S76" s="639"/>
      <c r="T76" s="639"/>
      <c r="U76" s="139"/>
      <c r="V76" s="74"/>
      <c r="W76" s="58"/>
      <c r="X76" s="58"/>
      <c r="Y76" s="58"/>
      <c r="Z76" s="75"/>
      <c r="AA76" s="56"/>
      <c r="AB76" s="300"/>
      <c r="AC76" s="55"/>
      <c r="AD76" s="79"/>
      <c r="AF76" s="15"/>
      <c r="AG76" s="66"/>
      <c r="AH76" s="256" t="s">
        <v>329</v>
      </c>
      <c r="AI76" s="234" t="s">
        <v>257</v>
      </c>
      <c r="AJ76" s="235" t="s">
        <v>284</v>
      </c>
      <c r="AK76" s="234" t="s">
        <v>255</v>
      </c>
      <c r="AL76" s="55" t="s">
        <v>249</v>
      </c>
      <c r="AM76" s="55" t="s">
        <v>250</v>
      </c>
      <c r="AN76" s="55" t="s">
        <v>287</v>
      </c>
      <c r="AO76" s="234" t="s">
        <v>255</v>
      </c>
      <c r="AP76" s="236" t="s">
        <v>286</v>
      </c>
      <c r="AQ76" s="237" t="s">
        <v>248</v>
      </c>
      <c r="AR76" s="206" t="s">
        <v>289</v>
      </c>
      <c r="AS76" s="513"/>
    </row>
    <row r="77" spans="1:45" ht="19.5" customHeight="1" thickBot="1" x14ac:dyDescent="0.3">
      <c r="A77" s="21"/>
      <c r="H77" s="897">
        <f>J77/L77</f>
        <v>1.4989902280130292</v>
      </c>
      <c r="I77" s="868" t="s">
        <v>257</v>
      </c>
      <c r="J77" s="871">
        <f>H72</f>
        <v>506.20899999999995</v>
      </c>
      <c r="K77" s="869" t="s">
        <v>250</v>
      </c>
      <c r="L77" s="872">
        <f>N72</f>
        <v>337.7</v>
      </c>
      <c r="M77" s="865"/>
      <c r="N77" s="870"/>
      <c r="O77" s="639"/>
      <c r="P77" s="639"/>
      <c r="Q77" s="639"/>
      <c r="R77" s="639"/>
      <c r="S77" s="639"/>
      <c r="T77" s="639"/>
      <c r="U77" s="139"/>
      <c r="V77" s="21"/>
      <c r="Z77" s="22"/>
      <c r="AA77" s="53"/>
      <c r="AB77" s="78"/>
      <c r="AC77" s="15"/>
      <c r="AD77" s="79"/>
      <c r="AF77" s="15"/>
      <c r="AG77" s="66"/>
      <c r="AH77" s="293">
        <f>AJ77+(AL77/AN77)+AP77</f>
        <v>5.14</v>
      </c>
      <c r="AI77" s="238" t="s">
        <v>257</v>
      </c>
      <c r="AJ77" s="239">
        <f>'Kat. 1 U-Wert'!C48</f>
        <v>0.1</v>
      </c>
      <c r="AK77" s="240" t="s">
        <v>255</v>
      </c>
      <c r="AL77" s="239">
        <f>AL73</f>
        <v>0.2</v>
      </c>
      <c r="AM77" s="89" t="s">
        <v>250</v>
      </c>
      <c r="AN77" s="241">
        <f>AP73</f>
        <v>0.04</v>
      </c>
      <c r="AO77" s="240" t="s">
        <v>255</v>
      </c>
      <c r="AP77" s="242">
        <f>'Kat. 1 U-Wert'!C49</f>
        <v>0.04</v>
      </c>
      <c r="AQ77" s="243" t="s">
        <v>248</v>
      </c>
      <c r="AR77" s="244">
        <v>0.3</v>
      </c>
      <c r="AS77" s="513"/>
    </row>
    <row r="78" spans="1:45" ht="19.5" customHeight="1" x14ac:dyDescent="0.25">
      <c r="A78" s="21"/>
      <c r="H78" s="211"/>
      <c r="I78" s="643"/>
      <c r="J78" s="643"/>
      <c r="K78" s="643"/>
      <c r="L78" s="643"/>
      <c r="M78" s="643"/>
      <c r="N78" s="212"/>
      <c r="O78" s="639"/>
      <c r="P78" s="639"/>
      <c r="Q78" s="639"/>
      <c r="R78" s="639"/>
      <c r="S78" s="639"/>
      <c r="T78" s="639"/>
      <c r="U78" s="139"/>
      <c r="V78" s="358">
        <f>ROUND(X78/Z78,3)</f>
        <v>0.191</v>
      </c>
      <c r="W78" s="224" t="s">
        <v>257</v>
      </c>
      <c r="X78" s="306">
        <v>1</v>
      </c>
      <c r="Y78" s="53" t="s">
        <v>250</v>
      </c>
      <c r="Z78" s="278">
        <f>AH79</f>
        <v>5.2486956521739128</v>
      </c>
      <c r="AA78" s="53"/>
      <c r="AB78" s="78"/>
      <c r="AC78" s="15"/>
      <c r="AD78" s="79"/>
      <c r="AF78" s="15"/>
      <c r="AG78" s="66"/>
      <c r="AH78" s="256" t="s">
        <v>330</v>
      </c>
      <c r="AI78" s="234" t="s">
        <v>257</v>
      </c>
      <c r="AJ78" s="235" t="s">
        <v>284</v>
      </c>
      <c r="AK78" s="234" t="s">
        <v>255</v>
      </c>
      <c r="AL78" s="55" t="s">
        <v>249</v>
      </c>
      <c r="AM78" s="55" t="s">
        <v>250</v>
      </c>
      <c r="AN78" s="55" t="s">
        <v>287</v>
      </c>
      <c r="AO78" s="234" t="s">
        <v>255</v>
      </c>
      <c r="AP78" s="236" t="s">
        <v>285</v>
      </c>
      <c r="AQ78" s="232"/>
      <c r="AR78" s="253"/>
      <c r="AS78" s="513"/>
    </row>
    <row r="79" spans="1:45" ht="19.5" customHeight="1" x14ac:dyDescent="0.25">
      <c r="A79" s="21"/>
      <c r="H79" s="211"/>
      <c r="I79" s="643"/>
      <c r="J79" s="643"/>
      <c r="K79" s="643"/>
      <c r="L79" s="643"/>
      <c r="M79" s="643"/>
      <c r="N79" s="212"/>
      <c r="O79" s="639"/>
      <c r="P79" s="639"/>
      <c r="Q79" s="639"/>
      <c r="R79" s="639"/>
      <c r="S79" s="639"/>
      <c r="T79" s="639"/>
      <c r="U79" s="139"/>
      <c r="V79" s="245" t="s">
        <v>332</v>
      </c>
      <c r="W79" s="224"/>
      <c r="X79" s="306"/>
      <c r="Y79" s="224"/>
      <c r="Z79" s="230"/>
      <c r="AA79" s="53"/>
      <c r="AB79" s="78"/>
      <c r="AC79" s="15"/>
      <c r="AD79" s="79"/>
      <c r="AF79" s="15"/>
      <c r="AG79" s="66"/>
      <c r="AH79" s="294">
        <f>AJ79+(AL79/AN79+AL80/AN80)+AP79</f>
        <v>5.2486956521739128</v>
      </c>
      <c r="AI79" s="248" t="s">
        <v>257</v>
      </c>
      <c r="AJ79" s="249">
        <f>'Kat. 1 U-Wert'!C48</f>
        <v>0.1</v>
      </c>
      <c r="AK79" s="250" t="s">
        <v>255</v>
      </c>
      <c r="AL79" s="249">
        <f>AL74</f>
        <v>0.2</v>
      </c>
      <c r="AM79" s="15" t="s">
        <v>250</v>
      </c>
      <c r="AN79" s="251">
        <f>AP74</f>
        <v>0.04</v>
      </c>
      <c r="AO79" s="250" t="s">
        <v>255</v>
      </c>
      <c r="AP79" s="252">
        <f>'Kat. 1 U-Wert'!C49</f>
        <v>0.04</v>
      </c>
      <c r="AQ79" s="232"/>
      <c r="AR79" s="253"/>
      <c r="AS79" s="513"/>
    </row>
    <row r="80" spans="1:45" ht="19.5" customHeight="1" thickBot="1" x14ac:dyDescent="0.3">
      <c r="A80" s="21"/>
      <c r="H80" s="211"/>
      <c r="I80" s="643"/>
      <c r="J80" s="643"/>
      <c r="K80" s="643"/>
      <c r="L80" s="643"/>
      <c r="M80" s="643"/>
      <c r="N80" s="212"/>
      <c r="O80" s="178"/>
      <c r="P80" s="178"/>
      <c r="Q80" s="178"/>
      <c r="R80" s="178"/>
      <c r="S80" s="178"/>
      <c r="T80" s="178"/>
      <c r="U80" s="266"/>
      <c r="V80" s="308"/>
      <c r="W80" s="280"/>
      <c r="X80" s="309"/>
      <c r="Y80" s="280"/>
      <c r="Z80" s="334"/>
      <c r="AA80" s="53"/>
      <c r="AB80" s="268"/>
      <c r="AC80" s="180"/>
      <c r="AD80" s="267"/>
      <c r="AE80" s="25"/>
      <c r="AF80" s="180"/>
      <c r="AG80" s="213"/>
      <c r="AH80" s="272"/>
      <c r="AI80" s="269"/>
      <c r="AJ80" s="270"/>
      <c r="AK80" s="271"/>
      <c r="AL80" s="270">
        <v>0.25</v>
      </c>
      <c r="AM80" s="180" t="s">
        <v>250</v>
      </c>
      <c r="AN80" s="272">
        <v>2.2999999999999998</v>
      </c>
      <c r="AO80" s="271"/>
      <c r="AP80" s="296"/>
      <c r="AQ80" s="246"/>
      <c r="AR80" s="247"/>
      <c r="AS80" s="514"/>
    </row>
    <row r="81" spans="1:45" ht="19.5" customHeight="1" thickBot="1" x14ac:dyDescent="0.3">
      <c r="A81" s="21"/>
      <c r="H81" s="211"/>
      <c r="I81" s="643"/>
      <c r="J81" s="643"/>
      <c r="K81" s="643"/>
      <c r="L81" s="643"/>
      <c r="M81" s="643"/>
      <c r="N81" s="212"/>
      <c r="O81" s="315"/>
      <c r="P81" s="315"/>
      <c r="Q81" s="315"/>
      <c r="R81" s="315"/>
      <c r="S81" s="315"/>
      <c r="T81" s="315"/>
      <c r="U81" s="316"/>
      <c r="V81" s="317"/>
      <c r="W81" s="318"/>
      <c r="X81" s="319"/>
      <c r="Y81" s="318"/>
      <c r="Z81" s="320"/>
      <c r="AA81" s="315"/>
      <c r="AB81" s="321"/>
      <c r="AC81" s="321"/>
      <c r="AD81" s="382"/>
      <c r="AE81" s="381"/>
      <c r="AF81" s="383"/>
      <c r="AG81" s="384"/>
      <c r="AH81" s="324"/>
      <c r="AI81" s="325"/>
      <c r="AJ81" s="326"/>
      <c r="AK81" s="327"/>
      <c r="AL81" s="326"/>
      <c r="AM81" s="321"/>
      <c r="AN81" s="324"/>
      <c r="AO81" s="327"/>
      <c r="AP81" s="328"/>
      <c r="AQ81" s="232"/>
      <c r="AR81" s="253"/>
      <c r="AS81" s="53"/>
    </row>
    <row r="82" spans="1:45" ht="19.5" customHeight="1" x14ac:dyDescent="0.25">
      <c r="A82" s="21"/>
      <c r="H82" s="211"/>
      <c r="I82" s="643"/>
      <c r="J82" s="643"/>
      <c r="K82" s="643"/>
      <c r="L82" s="643"/>
      <c r="M82" s="643"/>
      <c r="N82" s="212"/>
      <c r="O82" s="451" t="s">
        <v>270</v>
      </c>
      <c r="P82" s="451"/>
      <c r="Q82" s="451"/>
      <c r="R82" s="451"/>
      <c r="S82" s="451"/>
      <c r="T82" s="451"/>
      <c r="U82" s="452"/>
      <c r="V82" s="450" t="s">
        <v>247</v>
      </c>
      <c r="W82" s="451"/>
      <c r="X82" s="451"/>
      <c r="Y82" s="451"/>
      <c r="Z82" s="452"/>
      <c r="AA82" s="139"/>
      <c r="AB82" s="509" t="s">
        <v>375</v>
      </c>
      <c r="AC82" s="488"/>
      <c r="AD82" s="217"/>
      <c r="AE82" s="19"/>
      <c r="AF82" s="206"/>
      <c r="AG82" s="219"/>
      <c r="AH82" s="368" t="s">
        <v>122</v>
      </c>
      <c r="AI82" s="237"/>
      <c r="AJ82" s="284"/>
      <c r="AK82" s="285"/>
      <c r="AL82" s="220" t="s">
        <v>261</v>
      </c>
      <c r="AM82" s="206"/>
      <c r="AN82" s="286">
        <v>0</v>
      </c>
      <c r="AO82" s="218" t="s">
        <v>62</v>
      </c>
      <c r="AP82" s="207"/>
    </row>
    <row r="83" spans="1:45" ht="19.5" customHeight="1" x14ac:dyDescent="0.25">
      <c r="A83" s="21"/>
      <c r="H83" s="211"/>
      <c r="I83" s="643"/>
      <c r="J83" s="643"/>
      <c r="K83" s="643"/>
      <c r="L83" s="643"/>
      <c r="M83" s="643"/>
      <c r="N83" s="212"/>
      <c r="O83" s="486"/>
      <c r="P83" s="486"/>
      <c r="Q83" s="486"/>
      <c r="R83" s="486"/>
      <c r="S83" s="486"/>
      <c r="T83" s="486"/>
      <c r="U83" s="503"/>
      <c r="V83" s="258" t="s">
        <v>258</v>
      </c>
      <c r="W83" s="240" t="s">
        <v>257</v>
      </c>
      <c r="X83" s="259">
        <f>AN82</f>
        <v>0</v>
      </c>
      <c r="Y83" s="57"/>
      <c r="Z83" s="82"/>
      <c r="AA83" s="82"/>
      <c r="AB83" s="501"/>
      <c r="AC83" s="502"/>
      <c r="AD83" s="79"/>
      <c r="AF83" s="15"/>
      <c r="AG83" s="66"/>
      <c r="AH83" s="205"/>
      <c r="AI83" s="248"/>
      <c r="AJ83" s="249"/>
      <c r="AK83" s="250"/>
      <c r="AL83" s="260"/>
      <c r="AM83" s="15"/>
      <c r="AN83" s="231"/>
      <c r="AO83" s="16"/>
      <c r="AP83" s="103"/>
    </row>
    <row r="84" spans="1:45" ht="19.5" customHeight="1" x14ac:dyDescent="0.25">
      <c r="A84" s="21"/>
      <c r="H84" s="211"/>
      <c r="I84" s="643"/>
      <c r="J84" s="643"/>
      <c r="K84" s="643"/>
      <c r="L84" s="643"/>
      <c r="M84" s="643"/>
      <c r="N84" s="212"/>
      <c r="O84" s="637" t="s">
        <v>69</v>
      </c>
      <c r="P84" s="637"/>
      <c r="Q84" s="637"/>
      <c r="R84" s="637"/>
      <c r="S84" s="637"/>
      <c r="T84" s="637"/>
      <c r="U84" s="455"/>
      <c r="V84" s="504" t="s">
        <v>116</v>
      </c>
      <c r="W84" s="483"/>
      <c r="X84" s="483"/>
      <c r="Y84" s="483"/>
      <c r="Z84" s="505"/>
      <c r="AA84" s="139"/>
      <c r="AB84" s="90" t="s">
        <v>363</v>
      </c>
      <c r="AC84" s="55"/>
      <c r="AD84" s="79"/>
      <c r="AF84" s="15"/>
      <c r="AG84" s="66"/>
      <c r="AH84" s="510" t="s">
        <v>271</v>
      </c>
      <c r="AI84" s="510"/>
      <c r="AJ84" s="510"/>
      <c r="AK84" s="510"/>
      <c r="AL84" s="510"/>
      <c r="AM84" s="55" t="s">
        <v>432</v>
      </c>
      <c r="AN84" s="429">
        <v>2</v>
      </c>
      <c r="AO84" s="291" t="s">
        <v>64</v>
      </c>
      <c r="AP84" s="75"/>
    </row>
    <row r="85" spans="1:45" ht="19.5" customHeight="1" x14ac:dyDescent="0.25">
      <c r="A85" s="21"/>
      <c r="H85" s="211"/>
      <c r="I85" s="643"/>
      <c r="J85" s="643"/>
      <c r="K85" s="643"/>
      <c r="L85" s="643"/>
      <c r="M85" s="643"/>
      <c r="N85" s="212"/>
      <c r="O85" s="662" t="s">
        <v>260</v>
      </c>
      <c r="P85" s="638" t="s">
        <v>257</v>
      </c>
      <c r="Q85" s="639" t="s">
        <v>259</v>
      </c>
      <c r="R85" s="640" t="s">
        <v>248</v>
      </c>
      <c r="S85" s="639" t="s">
        <v>256</v>
      </c>
      <c r="T85" s="640" t="s">
        <v>248</v>
      </c>
      <c r="U85" s="204" t="s">
        <v>258</v>
      </c>
      <c r="V85" s="226" t="s">
        <v>256</v>
      </c>
      <c r="W85" s="224" t="s">
        <v>257</v>
      </c>
      <c r="X85" s="356">
        <f>AN84</f>
        <v>2</v>
      </c>
      <c r="Y85" s="53"/>
      <c r="Z85" s="139"/>
      <c r="AA85" s="139"/>
      <c r="AB85" s="205" t="str">
        <f>'Kat. 1 U-Wert'!B37</f>
        <v>Holzfenster, zwei Scheiben</v>
      </c>
      <c r="AC85" s="15" t="s">
        <v>351</v>
      </c>
      <c r="AD85" s="79"/>
      <c r="AF85" s="15"/>
      <c r="AG85" s="66"/>
      <c r="AH85" s="444" t="s">
        <v>395</v>
      </c>
      <c r="AI85" s="444"/>
      <c r="AJ85" s="444"/>
      <c r="AK85" s="444"/>
      <c r="AL85" s="444"/>
      <c r="AM85" s="444"/>
      <c r="AN85" s="444"/>
      <c r="AO85" s="444"/>
      <c r="AP85" s="457"/>
    </row>
    <row r="86" spans="1:45" ht="19.5" customHeight="1" x14ac:dyDescent="0.25">
      <c r="A86" s="21"/>
      <c r="H86" s="211"/>
      <c r="I86" s="643"/>
      <c r="J86" s="643"/>
      <c r="K86" s="643"/>
      <c r="L86" s="643"/>
      <c r="M86" s="643"/>
      <c r="N86" s="212"/>
      <c r="O86" s="889">
        <f>Q86*S86*U86</f>
        <v>0</v>
      </c>
      <c r="P86" s="638" t="s">
        <v>257</v>
      </c>
      <c r="Q86" s="639">
        <v>0.93</v>
      </c>
      <c r="R86" s="640" t="s">
        <v>248</v>
      </c>
      <c r="S86" s="707">
        <f>X85</f>
        <v>2</v>
      </c>
      <c r="T86" s="640" t="s">
        <v>248</v>
      </c>
      <c r="U86" s="230">
        <f>X83</f>
        <v>0</v>
      </c>
      <c r="V86" s="115"/>
      <c r="W86" s="224"/>
      <c r="X86" s="53"/>
      <c r="Y86" s="53"/>
      <c r="Z86" s="139"/>
      <c r="AA86" s="139"/>
      <c r="AB86" s="205" t="str">
        <f>'Kat. 1 U-Wert'!B39</f>
        <v>Kunststofffenster, Isolierverglasung</v>
      </c>
      <c r="AC86" s="15" t="s">
        <v>352</v>
      </c>
      <c r="AD86" s="79"/>
      <c r="AF86" s="15"/>
      <c r="AG86" s="66"/>
      <c r="AH86" s="444" t="s">
        <v>396</v>
      </c>
      <c r="AI86" s="444"/>
      <c r="AJ86" s="444"/>
      <c r="AK86" s="444"/>
      <c r="AL86" s="444"/>
      <c r="AM86" s="444"/>
      <c r="AN86" s="444"/>
      <c r="AO86" s="444"/>
      <c r="AP86" s="457"/>
    </row>
    <row r="87" spans="1:45" ht="19.5" customHeight="1" thickBot="1" x14ac:dyDescent="0.3">
      <c r="A87" s="21"/>
      <c r="H87" s="211"/>
      <c r="I87" s="643"/>
      <c r="J87" s="643"/>
      <c r="K87" s="643"/>
      <c r="L87" s="643"/>
      <c r="M87" s="643"/>
      <c r="N87" s="212"/>
      <c r="O87" s="178"/>
      <c r="P87" s="178"/>
      <c r="Q87" s="178"/>
      <c r="R87" s="178"/>
      <c r="S87" s="178"/>
      <c r="T87" s="178"/>
      <c r="U87" s="266"/>
      <c r="V87" s="263"/>
      <c r="W87" s="264"/>
      <c r="X87" s="264"/>
      <c r="Y87" s="264"/>
      <c r="Z87" s="265"/>
      <c r="AA87" s="139"/>
      <c r="AB87" s="205"/>
      <c r="AC87" s="15"/>
      <c r="AD87" s="267"/>
      <c r="AE87" s="25"/>
      <c r="AF87" s="180"/>
      <c r="AG87" s="213"/>
      <c r="AH87" s="490" t="s">
        <v>348</v>
      </c>
      <c r="AI87" s="490"/>
      <c r="AJ87" s="490"/>
      <c r="AK87" s="490"/>
      <c r="AL87" s="490"/>
      <c r="AM87" s="490"/>
      <c r="AN87" s="490"/>
      <c r="AO87" s="490"/>
      <c r="AP87" s="491"/>
    </row>
    <row r="88" spans="1:45" ht="19.5" customHeight="1" thickBot="1" x14ac:dyDescent="0.3">
      <c r="A88" s="21"/>
      <c r="H88" s="211"/>
      <c r="I88" s="643"/>
      <c r="J88" s="643"/>
      <c r="K88" s="643"/>
      <c r="L88" s="643"/>
      <c r="M88" s="643"/>
      <c r="N88" s="212"/>
      <c r="O88" s="315"/>
      <c r="P88" s="315"/>
      <c r="Q88" s="315"/>
      <c r="R88" s="315"/>
      <c r="S88" s="315"/>
      <c r="T88" s="315"/>
      <c r="U88" s="315"/>
      <c r="V88" s="353"/>
      <c r="W88" s="353"/>
      <c r="X88" s="353"/>
      <c r="Y88" s="353"/>
      <c r="Z88" s="353"/>
      <c r="AA88" s="315"/>
      <c r="AB88" s="350"/>
      <c r="AC88" s="351"/>
      <c r="AD88" s="382"/>
      <c r="AE88" s="381"/>
      <c r="AF88" s="383"/>
      <c r="AG88" s="384"/>
      <c r="AH88" s="321"/>
      <c r="AI88" s="325"/>
      <c r="AJ88" s="326"/>
      <c r="AK88" s="327"/>
      <c r="AL88" s="326"/>
      <c r="AM88" s="321"/>
      <c r="AN88" s="324"/>
      <c r="AO88" s="327"/>
      <c r="AP88" s="329"/>
    </row>
    <row r="89" spans="1:45" ht="19.5" customHeight="1" x14ac:dyDescent="0.25">
      <c r="A89" s="21"/>
      <c r="H89" s="211"/>
      <c r="I89" s="643"/>
      <c r="J89" s="643"/>
      <c r="K89" s="643"/>
      <c r="L89" s="643"/>
      <c r="M89" s="643"/>
      <c r="N89" s="212"/>
      <c r="O89" s="451" t="s">
        <v>65</v>
      </c>
      <c r="P89" s="451"/>
      <c r="Q89" s="451"/>
      <c r="R89" s="451"/>
      <c r="S89" s="451"/>
      <c r="T89" s="451"/>
      <c r="U89" s="452"/>
      <c r="V89" s="450" t="s">
        <v>247</v>
      </c>
      <c r="W89" s="451"/>
      <c r="X89" s="451"/>
      <c r="Y89" s="451"/>
      <c r="Z89" s="452"/>
      <c r="AA89" s="174"/>
      <c r="AB89" s="509" t="s">
        <v>373</v>
      </c>
      <c r="AC89" s="488"/>
      <c r="AD89" s="217"/>
      <c r="AE89" s="19"/>
      <c r="AF89" s="206"/>
      <c r="AG89" s="219"/>
      <c r="AH89" s="218" t="s">
        <v>122</v>
      </c>
      <c r="AI89" s="218"/>
      <c r="AJ89" s="218"/>
      <c r="AK89" s="218"/>
      <c r="AL89" s="220" t="s">
        <v>261</v>
      </c>
      <c r="AM89" s="218"/>
      <c r="AN89" s="349">
        <v>70</v>
      </c>
      <c r="AO89" s="218" t="s">
        <v>62</v>
      </c>
      <c r="AP89" s="219"/>
    </row>
    <row r="90" spans="1:45" ht="19.5" customHeight="1" x14ac:dyDescent="0.25">
      <c r="A90" s="21"/>
      <c r="H90" s="211"/>
      <c r="I90" s="643"/>
      <c r="J90" s="643"/>
      <c r="K90" s="643"/>
      <c r="L90" s="643"/>
      <c r="M90" s="643"/>
      <c r="N90" s="212"/>
      <c r="O90" s="486"/>
      <c r="P90" s="486"/>
      <c r="Q90" s="486"/>
      <c r="R90" s="486"/>
      <c r="S90" s="486"/>
      <c r="T90" s="486"/>
      <c r="U90" s="503"/>
      <c r="V90" s="258" t="s">
        <v>258</v>
      </c>
      <c r="W90" s="240" t="s">
        <v>257</v>
      </c>
      <c r="X90" s="378">
        <f>AN89</f>
        <v>70</v>
      </c>
      <c r="Y90" s="57"/>
      <c r="Z90" s="82"/>
      <c r="AA90" s="57"/>
      <c r="AB90" s="501"/>
      <c r="AC90" s="502"/>
      <c r="AD90" s="79"/>
      <c r="AF90" s="15"/>
      <c r="AG90" s="66"/>
      <c r="AH90" s="138"/>
      <c r="AI90" s="11"/>
      <c r="AJ90" s="221"/>
      <c r="AK90" s="11"/>
      <c r="AL90" s="11"/>
      <c r="AM90" s="11"/>
      <c r="AN90" s="222"/>
      <c r="AO90" s="11"/>
      <c r="AP90" s="67"/>
    </row>
    <row r="91" spans="1:45" ht="19.5" customHeight="1" x14ac:dyDescent="0.25">
      <c r="A91" s="21"/>
      <c r="H91" s="211"/>
      <c r="I91" s="643"/>
      <c r="J91" s="643"/>
      <c r="K91" s="643"/>
      <c r="L91" s="643"/>
      <c r="M91" s="643"/>
      <c r="N91" s="212"/>
      <c r="O91" s="637" t="s">
        <v>69</v>
      </c>
      <c r="P91" s="637"/>
      <c r="Q91" s="637"/>
      <c r="R91" s="637"/>
      <c r="S91" s="637"/>
      <c r="T91" s="637"/>
      <c r="U91" s="455"/>
      <c r="V91" s="504" t="s">
        <v>116</v>
      </c>
      <c r="W91" s="483"/>
      <c r="X91" s="483"/>
      <c r="Y91" s="483"/>
      <c r="Z91" s="505"/>
      <c r="AA91" s="56"/>
      <c r="AB91" s="90" t="s">
        <v>433</v>
      </c>
      <c r="AC91" s="55"/>
      <c r="AD91" s="79"/>
      <c r="AE91" s="16"/>
      <c r="AF91" s="16"/>
      <c r="AG91" s="66"/>
      <c r="AH91" s="444" t="s">
        <v>123</v>
      </c>
      <c r="AI91" s="444"/>
      <c r="AJ91" s="444"/>
      <c r="AK91" s="444"/>
      <c r="AL91" s="444"/>
      <c r="AM91" s="444"/>
      <c r="AN91" s="444"/>
      <c r="AO91" s="444"/>
      <c r="AP91" s="457"/>
    </row>
    <row r="92" spans="1:45" ht="18" x14ac:dyDescent="0.25">
      <c r="A92" s="21"/>
      <c r="H92" s="211"/>
      <c r="I92" s="643"/>
      <c r="J92" s="643"/>
      <c r="K92" s="643"/>
      <c r="L92" s="643"/>
      <c r="M92" s="643"/>
      <c r="N92" s="212"/>
      <c r="O92" s="662" t="s">
        <v>260</v>
      </c>
      <c r="P92" s="638" t="s">
        <v>257</v>
      </c>
      <c r="Q92" s="639"/>
      <c r="R92" s="640"/>
      <c r="S92" s="639" t="s">
        <v>256</v>
      </c>
      <c r="T92" s="640" t="s">
        <v>248</v>
      </c>
      <c r="U92" s="204" t="s">
        <v>258</v>
      </c>
      <c r="V92" s="226" t="s">
        <v>256</v>
      </c>
      <c r="W92" s="305" t="s">
        <v>257</v>
      </c>
      <c r="X92" s="305" t="s">
        <v>290</v>
      </c>
      <c r="Y92" s="53" t="s">
        <v>250</v>
      </c>
      <c r="Z92" s="204" t="s">
        <v>288</v>
      </c>
      <c r="AA92" s="53"/>
      <c r="AB92" s="70" t="s">
        <v>385</v>
      </c>
      <c r="AC92" s="15"/>
      <c r="AD92" s="70"/>
      <c r="AE92" s="16"/>
      <c r="AF92" s="16"/>
      <c r="AG92" s="66"/>
      <c r="AH92" s="444" t="str">
        <f>'Kat. 1 U-Wert'!B9</f>
        <v>Massive Decke</v>
      </c>
      <c r="AI92" s="444"/>
      <c r="AJ92" s="444"/>
      <c r="AK92" s="444"/>
      <c r="AL92" s="444"/>
      <c r="AM92" s="444" t="s">
        <v>381</v>
      </c>
      <c r="AN92" s="444"/>
      <c r="AO92" s="444"/>
      <c r="AP92" s="530">
        <f>'Kat. 1 U-Wert'!F10</f>
        <v>0.7</v>
      </c>
    </row>
    <row r="93" spans="1:45" x14ac:dyDescent="0.25">
      <c r="A93" s="21"/>
      <c r="H93" s="211"/>
      <c r="I93" s="643"/>
      <c r="J93" s="643"/>
      <c r="K93" s="643"/>
      <c r="L93" s="643"/>
      <c r="M93" s="643"/>
      <c r="N93" s="212"/>
      <c r="O93" s="890">
        <f>S93*U93</f>
        <v>49</v>
      </c>
      <c r="P93" s="638" t="s">
        <v>257</v>
      </c>
      <c r="Q93" s="639"/>
      <c r="R93" s="640"/>
      <c r="S93" s="641">
        <f>V93</f>
        <v>0.7</v>
      </c>
      <c r="T93" s="640" t="s">
        <v>248</v>
      </c>
      <c r="U93" s="230">
        <f>X90</f>
        <v>70</v>
      </c>
      <c r="V93" s="348">
        <f>X93/Z93</f>
        <v>0.7</v>
      </c>
      <c r="W93" s="305" t="s">
        <v>257</v>
      </c>
      <c r="X93" s="262">
        <v>1</v>
      </c>
      <c r="Y93" s="53" t="s">
        <v>250</v>
      </c>
      <c r="Z93" s="347">
        <f>AH100+AJ100</f>
        <v>1.4285714285714286</v>
      </c>
      <c r="AA93" s="53"/>
      <c r="AB93" s="79" t="str">
        <f>'Kat. 1 U-Wert'!B9</f>
        <v>Massive Decke</v>
      </c>
      <c r="AC93" s="15" t="s">
        <v>379</v>
      </c>
      <c r="AD93" s="70"/>
      <c r="AE93" s="16"/>
      <c r="AF93" s="16"/>
      <c r="AG93" s="66"/>
      <c r="AH93" s="444" t="str">
        <f>'Kat. 1 U-Wert'!B10</f>
        <v>Holzbalkendecke</v>
      </c>
      <c r="AI93" s="444"/>
      <c r="AJ93" s="444"/>
      <c r="AK93" s="444"/>
      <c r="AL93" s="444"/>
      <c r="AM93" s="444" t="s">
        <v>381</v>
      </c>
      <c r="AN93" s="444"/>
      <c r="AO93" s="444"/>
      <c r="AP93" s="530"/>
    </row>
    <row r="94" spans="1:45" x14ac:dyDescent="0.25">
      <c r="A94" s="21"/>
      <c r="H94" s="211"/>
      <c r="I94" s="643"/>
      <c r="J94" s="643"/>
      <c r="K94" s="643"/>
      <c r="L94" s="643"/>
      <c r="M94" s="643"/>
      <c r="N94" s="212"/>
      <c r="O94" s="662"/>
      <c r="P94" s="638"/>
      <c r="Q94" s="639"/>
      <c r="R94" s="640"/>
      <c r="S94" s="639"/>
      <c r="T94" s="640"/>
      <c r="U94" s="204"/>
      <c r="V94" s="68"/>
      <c r="W94" s="59"/>
      <c r="X94" s="59"/>
      <c r="Y94" s="59"/>
      <c r="Z94" s="69"/>
      <c r="AA94" s="57"/>
      <c r="AB94" s="81" t="str">
        <f>'Kat. 1 U-Wert'!B10</f>
        <v>Holzbalkendecke</v>
      </c>
      <c r="AC94" s="89" t="s">
        <v>380</v>
      </c>
      <c r="AD94" s="70"/>
      <c r="AE94" s="16"/>
      <c r="AF94" s="16"/>
      <c r="AG94" s="66"/>
      <c r="AH94" s="444" t="s">
        <v>111</v>
      </c>
      <c r="AI94" s="444"/>
      <c r="AJ94" s="444"/>
      <c r="AK94" s="444"/>
      <c r="AL94" s="227">
        <v>0</v>
      </c>
      <c r="AM94" s="15" t="s">
        <v>252</v>
      </c>
      <c r="AN94" s="16" t="s">
        <v>254</v>
      </c>
      <c r="AO94" s="16"/>
      <c r="AP94" s="335">
        <v>3.2000000000000001E-2</v>
      </c>
    </row>
    <row r="95" spans="1:45" ht="18" x14ac:dyDescent="0.25">
      <c r="A95" s="21"/>
      <c r="H95" s="211"/>
      <c r="I95" s="643"/>
      <c r="J95" s="643"/>
      <c r="K95" s="643"/>
      <c r="L95" s="643"/>
      <c r="M95" s="643"/>
      <c r="N95" s="212"/>
      <c r="O95" s="662"/>
      <c r="P95" s="638"/>
      <c r="Q95" s="639"/>
      <c r="R95" s="640"/>
      <c r="S95" s="639"/>
      <c r="T95" s="640"/>
      <c r="U95" s="204"/>
      <c r="V95" s="21"/>
      <c r="Z95" s="22"/>
      <c r="AA95" s="53"/>
      <c r="AB95" s="79"/>
      <c r="AC95" s="15"/>
      <c r="AD95" s="79"/>
      <c r="AE95" s="205"/>
      <c r="AF95" s="15"/>
      <c r="AG95" s="103"/>
      <c r="AH95" s="55" t="s">
        <v>429</v>
      </c>
      <c r="AI95" s="234" t="s">
        <v>257</v>
      </c>
      <c r="AJ95" s="235" t="s">
        <v>284</v>
      </c>
      <c r="AK95" s="234" t="s">
        <v>255</v>
      </c>
      <c r="AL95" s="55" t="s">
        <v>249</v>
      </c>
      <c r="AM95" s="55" t="s">
        <v>250</v>
      </c>
      <c r="AN95" s="55" t="s">
        <v>287</v>
      </c>
      <c r="AO95" s="255" t="s">
        <v>255</v>
      </c>
      <c r="AP95" s="236" t="s">
        <v>285</v>
      </c>
    </row>
    <row r="96" spans="1:45" x14ac:dyDescent="0.25">
      <c r="A96" s="21"/>
      <c r="H96" s="211"/>
      <c r="I96" s="643"/>
      <c r="J96" s="643"/>
      <c r="K96" s="643"/>
      <c r="L96" s="643"/>
      <c r="M96" s="643"/>
      <c r="N96" s="212"/>
      <c r="O96" s="662"/>
      <c r="P96" s="638"/>
      <c r="Q96" s="639"/>
      <c r="R96" s="640"/>
      <c r="S96" s="639"/>
      <c r="T96" s="640"/>
      <c r="U96" s="204"/>
      <c r="V96" s="21"/>
      <c r="Z96" s="22"/>
      <c r="AA96" s="53"/>
      <c r="AB96" s="79"/>
      <c r="AC96" s="15"/>
      <c r="AD96" s="79"/>
      <c r="AE96" s="205"/>
      <c r="AF96" s="15"/>
      <c r="AG96" s="103"/>
      <c r="AH96" s="345">
        <f>AJ96+(AL96/AN96)+AP96</f>
        <v>0</v>
      </c>
      <c r="AI96" s="238" t="s">
        <v>257</v>
      </c>
      <c r="AJ96" s="239">
        <f>IF(AL94&gt;0,'Kat. 1 U-Wert'!C48,0)</f>
        <v>0</v>
      </c>
      <c r="AK96" s="240" t="s">
        <v>255</v>
      </c>
      <c r="AL96" s="239">
        <f>AL94</f>
        <v>0</v>
      </c>
      <c r="AM96" s="89" t="s">
        <v>250</v>
      </c>
      <c r="AN96" s="241">
        <f>AP94</f>
        <v>3.2000000000000001E-2</v>
      </c>
      <c r="AO96" s="238" t="s">
        <v>255</v>
      </c>
      <c r="AP96" s="242">
        <f>IF(AL94&gt;0,'Kat. 1 U-Wert'!C49,0)</f>
        <v>0</v>
      </c>
    </row>
    <row r="97" spans="1:42" ht="18" x14ac:dyDescent="0.25">
      <c r="A97" s="21"/>
      <c r="H97" s="211"/>
      <c r="I97" s="643"/>
      <c r="J97" s="643"/>
      <c r="K97" s="643"/>
      <c r="L97" s="643"/>
      <c r="M97" s="643"/>
      <c r="N97" s="212"/>
      <c r="O97" s="662"/>
      <c r="P97" s="638"/>
      <c r="Q97" s="639"/>
      <c r="R97" s="640"/>
      <c r="S97" s="639"/>
      <c r="T97" s="640"/>
      <c r="U97" s="204"/>
      <c r="V97" s="21"/>
      <c r="Z97" s="22"/>
      <c r="AA97" s="53"/>
      <c r="AB97" s="79"/>
      <c r="AC97" s="15"/>
      <c r="AD97" s="79"/>
      <c r="AE97" s="205"/>
      <c r="AF97" s="15"/>
      <c r="AG97" s="103"/>
      <c r="AH97" s="55" t="s">
        <v>428</v>
      </c>
      <c r="AI97" s="255" t="s">
        <v>257</v>
      </c>
      <c r="AJ97" s="55">
        <v>1</v>
      </c>
      <c r="AK97" s="55" t="s">
        <v>250</v>
      </c>
      <c r="AL97" s="442" t="s">
        <v>381</v>
      </c>
      <c r="AM97" s="442"/>
      <c r="AN97" s="442"/>
      <c r="AO97" s="58"/>
      <c r="AP97" s="236"/>
    </row>
    <row r="98" spans="1:42" x14ac:dyDescent="0.25">
      <c r="A98" s="21"/>
      <c r="H98" s="211"/>
      <c r="I98" s="643"/>
      <c r="J98" s="643"/>
      <c r="K98" s="643"/>
      <c r="L98" s="643"/>
      <c r="M98" s="643"/>
      <c r="N98" s="212"/>
      <c r="O98" s="662"/>
      <c r="P98" s="638"/>
      <c r="Q98" s="639"/>
      <c r="R98" s="640"/>
      <c r="S98" s="639"/>
      <c r="T98" s="640"/>
      <c r="U98" s="204"/>
      <c r="V98" s="21"/>
      <c r="Z98" s="22"/>
      <c r="AA98" s="53"/>
      <c r="AB98" s="79"/>
      <c r="AC98" s="15"/>
      <c r="AD98" s="79"/>
      <c r="AE98" s="205"/>
      <c r="AF98" s="15"/>
      <c r="AG98" s="103"/>
      <c r="AH98" s="343">
        <f>AJ98/AL98</f>
        <v>1.4285714285714286</v>
      </c>
      <c r="AI98" s="238" t="s">
        <v>257</v>
      </c>
      <c r="AJ98" s="89">
        <v>1</v>
      </c>
      <c r="AK98" s="89" t="s">
        <v>250</v>
      </c>
      <c r="AL98" s="443">
        <f>AP92</f>
        <v>0.7</v>
      </c>
      <c r="AM98" s="443"/>
      <c r="AN98" s="443"/>
      <c r="AO98" s="59"/>
      <c r="AP98" s="276"/>
    </row>
    <row r="99" spans="1:42" ht="18" x14ac:dyDescent="0.25">
      <c r="A99" s="21"/>
      <c r="H99" s="211"/>
      <c r="I99" s="643"/>
      <c r="J99" s="643"/>
      <c r="K99" s="643"/>
      <c r="L99" s="643"/>
      <c r="M99" s="643"/>
      <c r="N99" s="212"/>
      <c r="O99" s="662"/>
      <c r="P99" s="638"/>
      <c r="Q99" s="639"/>
      <c r="R99" s="640"/>
      <c r="S99" s="639"/>
      <c r="T99" s="640"/>
      <c r="U99" s="204"/>
      <c r="V99" s="21"/>
      <c r="Z99" s="22"/>
      <c r="AA99" s="53"/>
      <c r="AB99" s="79"/>
      <c r="AC99" s="15"/>
      <c r="AD99" s="79"/>
      <c r="AE99" s="205"/>
      <c r="AF99" s="15"/>
      <c r="AG99" s="103"/>
      <c r="AH99" s="55" t="s">
        <v>427</v>
      </c>
      <c r="AI99" s="255" t="s">
        <v>257</v>
      </c>
      <c r="AJ99" s="55"/>
      <c r="AK99" s="55"/>
      <c r="AL99" s="55" t="s">
        <v>430</v>
      </c>
      <c r="AM99" s="342" t="s">
        <v>255</v>
      </c>
      <c r="AN99" s="55" t="s">
        <v>431</v>
      </c>
      <c r="AO99" s="58"/>
      <c r="AP99" s="236"/>
    </row>
    <row r="100" spans="1:42" ht="15.75" thickBot="1" x14ac:dyDescent="0.3">
      <c r="A100" s="21"/>
      <c r="H100" s="211"/>
      <c r="I100" s="643"/>
      <c r="J100" s="643"/>
      <c r="K100" s="643"/>
      <c r="L100" s="643"/>
      <c r="M100" s="643"/>
      <c r="N100" s="212"/>
      <c r="O100" s="423"/>
      <c r="P100" s="280"/>
      <c r="Q100" s="178"/>
      <c r="R100" s="282"/>
      <c r="S100" s="178"/>
      <c r="T100" s="282"/>
      <c r="U100" s="283"/>
      <c r="V100" s="24"/>
      <c r="W100" s="25"/>
      <c r="X100" s="25"/>
      <c r="Y100" s="25"/>
      <c r="Z100" s="26"/>
      <c r="AA100" s="53"/>
      <c r="AB100" s="267"/>
      <c r="AC100" s="180"/>
      <c r="AD100" s="267"/>
      <c r="AE100" s="275"/>
      <c r="AF100" s="180"/>
      <c r="AG100" s="273"/>
      <c r="AH100" s="385">
        <f>AL100+AN100</f>
        <v>1.4285714285714286</v>
      </c>
      <c r="AI100" s="269" t="s">
        <v>257</v>
      </c>
      <c r="AJ100" s="180"/>
      <c r="AK100" s="180"/>
      <c r="AL100" s="359">
        <f>AH98</f>
        <v>1.4285714285714286</v>
      </c>
      <c r="AM100" s="360" t="s">
        <v>255</v>
      </c>
      <c r="AN100" s="361">
        <f>AH96</f>
        <v>0</v>
      </c>
      <c r="AO100" s="25"/>
      <c r="AP100" s="273"/>
    </row>
    <row r="101" spans="1:42" ht="15.75" thickBot="1" x14ac:dyDescent="0.3">
      <c r="A101" s="21"/>
      <c r="H101" s="211"/>
      <c r="I101" s="643"/>
      <c r="J101" s="643"/>
      <c r="K101" s="643"/>
      <c r="L101" s="643"/>
      <c r="M101" s="643"/>
      <c r="N101" s="212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  <c r="AA101" s="524"/>
      <c r="AB101" s="524"/>
      <c r="AC101" s="524"/>
      <c r="AD101" s="525"/>
      <c r="AE101" s="525"/>
      <c r="AF101" s="525"/>
      <c r="AG101" s="525"/>
      <c r="AH101" s="524"/>
      <c r="AI101" s="524"/>
      <c r="AJ101" s="524"/>
      <c r="AK101" s="524"/>
      <c r="AL101" s="524"/>
      <c r="AM101" s="524"/>
      <c r="AN101" s="524"/>
      <c r="AO101" s="524"/>
      <c r="AP101" s="526"/>
    </row>
    <row r="102" spans="1:42" ht="30.75" customHeight="1" x14ac:dyDescent="0.25">
      <c r="A102" s="21"/>
      <c r="H102" s="211"/>
      <c r="I102" s="643"/>
      <c r="J102" s="643"/>
      <c r="K102" s="643"/>
      <c r="L102" s="643"/>
      <c r="M102" s="643"/>
      <c r="N102" s="212"/>
      <c r="O102" s="451" t="s">
        <v>66</v>
      </c>
      <c r="P102" s="451"/>
      <c r="Q102" s="451"/>
      <c r="R102" s="451"/>
      <c r="S102" s="451"/>
      <c r="T102" s="451"/>
      <c r="U102" s="452"/>
      <c r="V102" s="450" t="s">
        <v>247</v>
      </c>
      <c r="W102" s="451"/>
      <c r="X102" s="451"/>
      <c r="Y102" s="451"/>
      <c r="Z102" s="452"/>
      <c r="AA102" s="174"/>
      <c r="AB102" s="446" t="s">
        <v>441</v>
      </c>
      <c r="AC102" s="447"/>
      <c r="AD102" s="217"/>
      <c r="AE102" s="218"/>
      <c r="AF102" s="218"/>
      <c r="AG102" s="219"/>
      <c r="AH102" s="218" t="s">
        <v>122</v>
      </c>
      <c r="AI102" s="218"/>
      <c r="AJ102" s="218"/>
      <c r="AK102" s="218"/>
      <c r="AL102" s="220" t="s">
        <v>261</v>
      </c>
      <c r="AM102" s="218"/>
      <c r="AN102" s="379">
        <v>198</v>
      </c>
      <c r="AO102" s="218" t="s">
        <v>62</v>
      </c>
      <c r="AP102" s="219"/>
    </row>
    <row r="103" spans="1:42" ht="25.5" customHeight="1" x14ac:dyDescent="0.25">
      <c r="A103" s="21"/>
      <c r="H103" s="211"/>
      <c r="I103" s="643"/>
      <c r="J103" s="643"/>
      <c r="K103" s="643"/>
      <c r="L103" s="643"/>
      <c r="M103" s="643"/>
      <c r="N103" s="212"/>
      <c r="O103" s="637" t="s">
        <v>69</v>
      </c>
      <c r="P103" s="637"/>
      <c r="Q103" s="637"/>
      <c r="R103" s="637"/>
      <c r="S103" s="637"/>
      <c r="T103" s="637"/>
      <c r="U103" s="455"/>
      <c r="V103" s="258" t="s">
        <v>364</v>
      </c>
      <c r="W103" s="288" t="s">
        <v>257</v>
      </c>
      <c r="X103" s="378">
        <f>AN103</f>
        <v>128.69999999999999</v>
      </c>
      <c r="Y103" s="149"/>
      <c r="Z103" s="279"/>
      <c r="AA103" s="57"/>
      <c r="AB103" s="527"/>
      <c r="AC103" s="528"/>
      <c r="AD103" s="79"/>
      <c r="AE103" s="16"/>
      <c r="AF103" s="16"/>
      <c r="AG103" s="66"/>
      <c r="AH103" s="138" t="s">
        <v>362</v>
      </c>
      <c r="AI103" s="11"/>
      <c r="AJ103" s="221"/>
      <c r="AK103" s="11"/>
      <c r="AL103" s="11"/>
      <c r="AM103" s="11"/>
      <c r="AN103" s="222">
        <f>AN102-AN115</f>
        <v>128.69999999999999</v>
      </c>
      <c r="AO103" s="11" t="s">
        <v>62</v>
      </c>
      <c r="AP103" s="67"/>
    </row>
    <row r="104" spans="1:42" ht="21.75" customHeight="1" x14ac:dyDescent="0.25">
      <c r="A104" s="21"/>
      <c r="H104" s="211"/>
      <c r="I104" s="643"/>
      <c r="J104" s="643"/>
      <c r="K104" s="643"/>
      <c r="L104" s="643"/>
      <c r="M104" s="643"/>
      <c r="N104" s="212"/>
      <c r="O104" s="662" t="s">
        <v>260</v>
      </c>
      <c r="P104" s="638" t="s">
        <v>257</v>
      </c>
      <c r="Q104" s="639" t="s">
        <v>259</v>
      </c>
      <c r="R104" s="640" t="s">
        <v>248</v>
      </c>
      <c r="S104" s="639" t="s">
        <v>256</v>
      </c>
      <c r="T104" s="640" t="s">
        <v>248</v>
      </c>
      <c r="U104" s="204" t="s">
        <v>258</v>
      </c>
      <c r="V104" s="504" t="s">
        <v>116</v>
      </c>
      <c r="W104" s="483"/>
      <c r="X104" s="483"/>
      <c r="Y104" s="483"/>
      <c r="Z104" s="505"/>
      <c r="AA104" s="56"/>
      <c r="AB104" s="529" t="s">
        <v>361</v>
      </c>
      <c r="AC104" s="511"/>
      <c r="AD104" s="79"/>
      <c r="AE104" s="16"/>
      <c r="AF104" s="16"/>
      <c r="AG104" s="66"/>
      <c r="AH104" s="510" t="s">
        <v>123</v>
      </c>
      <c r="AI104" s="510"/>
      <c r="AJ104" s="510"/>
      <c r="AK104" s="510"/>
      <c r="AL104" s="510"/>
      <c r="AM104" s="510"/>
      <c r="AN104" s="510"/>
      <c r="AO104" s="510"/>
      <c r="AP104" s="511"/>
    </row>
    <row r="105" spans="1:42" x14ac:dyDescent="0.25">
      <c r="A105" s="21"/>
      <c r="H105" s="211"/>
      <c r="I105" s="643"/>
      <c r="J105" s="643"/>
      <c r="K105" s="643"/>
      <c r="L105" s="643"/>
      <c r="M105" s="643"/>
      <c r="N105" s="212"/>
      <c r="O105" s="889">
        <f>Q105*S105*U105</f>
        <v>180.17999999999998</v>
      </c>
      <c r="P105" s="638" t="s">
        <v>257</v>
      </c>
      <c r="Q105" s="639">
        <v>1</v>
      </c>
      <c r="R105" s="640" t="s">
        <v>248</v>
      </c>
      <c r="S105" s="667">
        <f>V105</f>
        <v>1.4</v>
      </c>
      <c r="T105" s="640" t="s">
        <v>248</v>
      </c>
      <c r="U105" s="380">
        <f>X103</f>
        <v>128.69999999999999</v>
      </c>
      <c r="V105" s="431">
        <f>ROUND(X105/Z105,3)</f>
        <v>1.4</v>
      </c>
      <c r="W105" s="224" t="s">
        <v>257</v>
      </c>
      <c r="X105" s="341">
        <v>1</v>
      </c>
      <c r="Y105" s="53" t="s">
        <v>250</v>
      </c>
      <c r="Z105" s="277">
        <f>AH113</f>
        <v>0.7142857142857143</v>
      </c>
      <c r="AA105" s="53"/>
      <c r="AB105" s="79" t="s">
        <v>423</v>
      </c>
      <c r="AC105" s="103" t="s">
        <v>424</v>
      </c>
      <c r="AD105" s="79"/>
      <c r="AE105" s="16"/>
      <c r="AF105" s="16"/>
      <c r="AG105" s="66"/>
      <c r="AH105" s="444" t="s">
        <v>397</v>
      </c>
      <c r="AI105" s="444"/>
      <c r="AJ105" s="444"/>
      <c r="AK105" s="444"/>
      <c r="AL105" s="444"/>
      <c r="AM105" s="444"/>
      <c r="AN105" s="444"/>
      <c r="AP105" s="22">
        <f>'Kat. 1 U-Wert'!F19</f>
        <v>1.4</v>
      </c>
    </row>
    <row r="106" spans="1:42" x14ac:dyDescent="0.25">
      <c r="A106" s="21"/>
      <c r="H106" s="211"/>
      <c r="I106" s="643"/>
      <c r="J106" s="643"/>
      <c r="K106" s="643"/>
      <c r="L106" s="643"/>
      <c r="M106" s="643"/>
      <c r="N106" s="212"/>
      <c r="O106" s="639"/>
      <c r="P106" s="638"/>
      <c r="Q106" s="639"/>
      <c r="R106" s="640"/>
      <c r="S106" s="664"/>
      <c r="T106" s="640"/>
      <c r="U106" s="380"/>
      <c r="V106" s="115"/>
      <c r="W106" s="224"/>
      <c r="X106" s="341"/>
      <c r="Y106" s="53"/>
      <c r="Z106" s="394"/>
      <c r="AA106" s="53"/>
      <c r="AB106" s="79" t="str">
        <f>'Kat. 1 U-Wert'!B19</f>
        <v>Sonstige Wandaufbauten über 20cm Wandstärke</v>
      </c>
      <c r="AC106" s="103" t="s">
        <v>425</v>
      </c>
      <c r="AD106" s="79"/>
      <c r="AE106" s="16"/>
      <c r="AF106" s="16"/>
      <c r="AG106" s="66"/>
      <c r="AH106" s="444"/>
      <c r="AI106" s="444"/>
      <c r="AJ106" s="444"/>
      <c r="AK106" s="444"/>
      <c r="AL106" s="444"/>
      <c r="AM106" s="444"/>
      <c r="AN106" s="444"/>
      <c r="AO106" s="444"/>
      <c r="AP106" s="66"/>
    </row>
    <row r="107" spans="1:42" x14ac:dyDescent="0.25">
      <c r="A107" s="21"/>
      <c r="H107" s="211"/>
      <c r="I107" s="643"/>
      <c r="J107" s="643"/>
      <c r="K107" s="643"/>
      <c r="L107" s="643"/>
      <c r="M107" s="643"/>
      <c r="N107" s="212"/>
      <c r="O107" s="639"/>
      <c r="P107" s="638"/>
      <c r="Q107" s="639"/>
      <c r="R107" s="640"/>
      <c r="S107" s="664"/>
      <c r="T107" s="640"/>
      <c r="U107" s="380"/>
      <c r="V107" s="274"/>
      <c r="W107" s="288"/>
      <c r="X107" s="399"/>
      <c r="Y107" s="57"/>
      <c r="Z107" s="400"/>
      <c r="AA107" s="57"/>
      <c r="AB107" s="81" t="str">
        <f>'Kat. 1 U-Wert'!B16</f>
        <v>Wie vorstehend, jedoch 
über 30cm Wandstärke</v>
      </c>
      <c r="AC107" s="276" t="s">
        <v>426</v>
      </c>
      <c r="AD107" s="79"/>
      <c r="AE107" s="16"/>
      <c r="AF107" s="16"/>
      <c r="AG107" s="66"/>
      <c r="AH107" s="445" t="s">
        <v>111</v>
      </c>
      <c r="AI107" s="445"/>
      <c r="AJ107" s="445"/>
      <c r="AK107" s="16"/>
      <c r="AL107" s="227">
        <v>0</v>
      </c>
      <c r="AM107" s="15" t="s">
        <v>252</v>
      </c>
      <c r="AN107" s="16" t="s">
        <v>254</v>
      </c>
      <c r="AO107" s="16"/>
      <c r="AP107" s="66">
        <v>0.35</v>
      </c>
    </row>
    <row r="108" spans="1:42" ht="18" x14ac:dyDescent="0.25">
      <c r="A108" s="21"/>
      <c r="H108" s="211"/>
      <c r="I108" s="643"/>
      <c r="J108" s="643"/>
      <c r="K108" s="643"/>
      <c r="L108" s="643"/>
      <c r="M108" s="643"/>
      <c r="N108" s="212"/>
      <c r="O108" s="639"/>
      <c r="P108" s="638"/>
      <c r="Q108" s="639"/>
      <c r="R108" s="640"/>
      <c r="S108" s="664"/>
      <c r="T108" s="640"/>
      <c r="U108" s="380"/>
      <c r="V108" s="115"/>
      <c r="W108" s="224"/>
      <c r="X108" s="341"/>
      <c r="Y108" s="53"/>
      <c r="Z108" s="394"/>
      <c r="AA108" s="53"/>
      <c r="AB108" s="79"/>
      <c r="AC108" s="15"/>
      <c r="AD108" s="79"/>
      <c r="AE108" s="16"/>
      <c r="AF108" s="16"/>
      <c r="AG108" s="66"/>
      <c r="AH108" s="55" t="s">
        <v>429</v>
      </c>
      <c r="AI108" s="234" t="s">
        <v>257</v>
      </c>
      <c r="AJ108" s="235" t="s">
        <v>284</v>
      </c>
      <c r="AK108" s="234" t="s">
        <v>255</v>
      </c>
      <c r="AL108" s="55" t="s">
        <v>249</v>
      </c>
      <c r="AM108" s="55" t="s">
        <v>250</v>
      </c>
      <c r="AN108" s="55" t="s">
        <v>287</v>
      </c>
      <c r="AO108" s="255" t="s">
        <v>255</v>
      </c>
      <c r="AP108" s="236" t="s">
        <v>285</v>
      </c>
    </row>
    <row r="109" spans="1:42" x14ac:dyDescent="0.25">
      <c r="A109" s="21"/>
      <c r="H109" s="211"/>
      <c r="I109" s="643"/>
      <c r="J109" s="643"/>
      <c r="K109" s="643"/>
      <c r="L109" s="643"/>
      <c r="M109" s="643"/>
      <c r="N109" s="212"/>
      <c r="O109" s="639"/>
      <c r="P109" s="638"/>
      <c r="Q109" s="639"/>
      <c r="R109" s="640"/>
      <c r="S109" s="664"/>
      <c r="T109" s="640"/>
      <c r="U109" s="380"/>
      <c r="V109" s="115"/>
      <c r="W109" s="224"/>
      <c r="X109" s="341"/>
      <c r="Y109" s="53"/>
      <c r="Z109" s="394"/>
      <c r="AA109" s="53"/>
      <c r="AB109" s="79"/>
      <c r="AC109" s="15"/>
      <c r="AD109" s="79"/>
      <c r="AE109" s="16"/>
      <c r="AF109" s="16"/>
      <c r="AG109" s="66"/>
      <c r="AH109" s="345">
        <f>AJ109+(AL109/AN109)+AP109</f>
        <v>0</v>
      </c>
      <c r="AI109" s="238" t="s">
        <v>257</v>
      </c>
      <c r="AJ109" s="239">
        <f>IF(AL107&gt;0,'[1]Kat. 1 U-Wert'!G154,0)</f>
        <v>0</v>
      </c>
      <c r="AK109" s="240" t="s">
        <v>255</v>
      </c>
      <c r="AL109" s="239">
        <f>AL107</f>
        <v>0</v>
      </c>
      <c r="AM109" s="89" t="s">
        <v>250</v>
      </c>
      <c r="AN109" s="241">
        <f>AP107</f>
        <v>0.35</v>
      </c>
      <c r="AO109" s="238" t="s">
        <v>255</v>
      </c>
      <c r="AP109" s="242">
        <f>IF(AL107&gt;0,'[1]Kat. 1 U-Wert'!G155,0)</f>
        <v>0</v>
      </c>
    </row>
    <row r="110" spans="1:42" ht="18" x14ac:dyDescent="0.25">
      <c r="A110" s="21"/>
      <c r="H110" s="211"/>
      <c r="I110" s="643"/>
      <c r="J110" s="643"/>
      <c r="K110" s="643"/>
      <c r="L110" s="643"/>
      <c r="M110" s="643"/>
      <c r="N110" s="212"/>
      <c r="O110" s="639"/>
      <c r="P110" s="638"/>
      <c r="Q110" s="639"/>
      <c r="R110" s="640"/>
      <c r="S110" s="664"/>
      <c r="T110" s="640"/>
      <c r="U110" s="380"/>
      <c r="V110" s="115"/>
      <c r="W110" s="224"/>
      <c r="X110" s="341"/>
      <c r="Y110" s="53"/>
      <c r="Z110" s="394"/>
      <c r="AA110" s="53"/>
      <c r="AB110" s="79"/>
      <c r="AC110" s="15"/>
      <c r="AD110" s="79"/>
      <c r="AE110" s="16"/>
      <c r="AF110" s="16"/>
      <c r="AG110" s="66"/>
      <c r="AH110" s="55" t="s">
        <v>435</v>
      </c>
      <c r="AI110" s="255" t="s">
        <v>257</v>
      </c>
      <c r="AJ110" s="55">
        <v>1</v>
      </c>
      <c r="AK110" s="55" t="s">
        <v>250</v>
      </c>
      <c r="AL110" s="442" t="s">
        <v>381</v>
      </c>
      <c r="AM110" s="442"/>
      <c r="AN110" s="442"/>
      <c r="AO110" s="58"/>
      <c r="AP110" s="236"/>
    </row>
    <row r="111" spans="1:42" x14ac:dyDescent="0.25">
      <c r="A111" s="21"/>
      <c r="H111" s="211"/>
      <c r="I111" s="643"/>
      <c r="J111" s="643"/>
      <c r="K111" s="643"/>
      <c r="L111" s="643"/>
      <c r="M111" s="643"/>
      <c r="N111" s="212"/>
      <c r="O111" s="639"/>
      <c r="P111" s="638"/>
      <c r="Q111" s="639"/>
      <c r="R111" s="640"/>
      <c r="S111" s="664"/>
      <c r="T111" s="640"/>
      <c r="U111" s="380"/>
      <c r="V111" s="115"/>
      <c r="W111" s="224"/>
      <c r="X111" s="341"/>
      <c r="Y111" s="53"/>
      <c r="Z111" s="394"/>
      <c r="AA111" s="53"/>
      <c r="AB111" s="79"/>
      <c r="AC111" s="15"/>
      <c r="AD111" s="79"/>
      <c r="AE111" s="16"/>
      <c r="AF111" s="16"/>
      <c r="AG111" s="66"/>
      <c r="AH111" s="343">
        <f>AJ111/AL111</f>
        <v>0.7142857142857143</v>
      </c>
      <c r="AI111" s="238" t="s">
        <v>257</v>
      </c>
      <c r="AJ111" s="89">
        <v>1</v>
      </c>
      <c r="AK111" s="89" t="s">
        <v>250</v>
      </c>
      <c r="AL111" s="443">
        <f>AP105</f>
        <v>1.4</v>
      </c>
      <c r="AM111" s="443"/>
      <c r="AN111" s="443"/>
      <c r="AO111" s="59"/>
      <c r="AP111" s="276"/>
    </row>
    <row r="112" spans="1:42" ht="18" x14ac:dyDescent="0.25">
      <c r="A112" s="21"/>
      <c r="H112" s="211"/>
      <c r="I112" s="643"/>
      <c r="J112" s="643"/>
      <c r="K112" s="643"/>
      <c r="L112" s="643"/>
      <c r="M112" s="643"/>
      <c r="N112" s="212"/>
      <c r="O112" s="639"/>
      <c r="P112" s="638"/>
      <c r="Q112" s="639"/>
      <c r="R112" s="640"/>
      <c r="S112" s="664"/>
      <c r="T112" s="640"/>
      <c r="U112" s="380"/>
      <c r="V112" s="115"/>
      <c r="W112" s="224"/>
      <c r="X112" s="341"/>
      <c r="Y112" s="53"/>
      <c r="Z112" s="394"/>
      <c r="AA112" s="53"/>
      <c r="AB112" s="79"/>
      <c r="AC112" s="15"/>
      <c r="AD112" s="79"/>
      <c r="AE112" s="16"/>
      <c r="AF112" s="16"/>
      <c r="AG112" s="66"/>
      <c r="AH112" s="55" t="s">
        <v>427</v>
      </c>
      <c r="AI112" s="255" t="s">
        <v>257</v>
      </c>
      <c r="AJ112" s="55"/>
      <c r="AK112" s="55"/>
      <c r="AL112" s="55" t="s">
        <v>436</v>
      </c>
      <c r="AM112" s="342" t="s">
        <v>255</v>
      </c>
      <c r="AN112" s="55" t="s">
        <v>431</v>
      </c>
      <c r="AO112" s="58"/>
      <c r="AP112" s="236"/>
    </row>
    <row r="113" spans="1:42" ht="15.75" thickBot="1" x14ac:dyDescent="0.3">
      <c r="A113" s="21"/>
      <c r="H113" s="211"/>
      <c r="I113" s="643"/>
      <c r="J113" s="643"/>
      <c r="K113" s="643"/>
      <c r="L113" s="643"/>
      <c r="M113" s="643"/>
      <c r="N113" s="212"/>
      <c r="O113" s="178"/>
      <c r="P113" s="280"/>
      <c r="Q113" s="178"/>
      <c r="R113" s="282"/>
      <c r="S113" s="437"/>
      <c r="T113" s="282"/>
      <c r="U113" s="887"/>
      <c r="V113" s="177"/>
      <c r="W113" s="280"/>
      <c r="X113" s="432"/>
      <c r="Y113" s="178"/>
      <c r="Z113" s="433"/>
      <c r="AA113" s="53"/>
      <c r="AB113" s="79"/>
      <c r="AC113" s="15"/>
      <c r="AD113" s="267"/>
      <c r="AE113" s="72"/>
      <c r="AF113" s="72"/>
      <c r="AG113" s="213"/>
      <c r="AH113" s="398">
        <f>AL113+AN113</f>
        <v>0.7142857142857143</v>
      </c>
      <c r="AI113" s="248" t="s">
        <v>257</v>
      </c>
      <c r="AJ113" s="15"/>
      <c r="AK113" s="15"/>
      <c r="AL113" s="395">
        <f>AH111</f>
        <v>0.7142857142857143</v>
      </c>
      <c r="AM113" s="396" t="s">
        <v>255</v>
      </c>
      <c r="AN113" s="397">
        <f>AH109</f>
        <v>0</v>
      </c>
      <c r="AP113" s="103"/>
    </row>
    <row r="114" spans="1:42" ht="15.75" thickBot="1" x14ac:dyDescent="0.3">
      <c r="A114" s="21"/>
      <c r="H114" s="211"/>
      <c r="I114" s="643"/>
      <c r="J114" s="643"/>
      <c r="K114" s="643"/>
      <c r="L114" s="643"/>
      <c r="M114" s="643"/>
      <c r="N114" s="212"/>
      <c r="O114" s="404"/>
      <c r="P114" s="403"/>
      <c r="Q114" s="404"/>
      <c r="R114" s="405"/>
      <c r="S114" s="406"/>
      <c r="T114" s="405"/>
      <c r="U114" s="427"/>
      <c r="V114" s="404"/>
      <c r="W114" s="403"/>
      <c r="X114" s="411"/>
      <c r="Y114" s="404"/>
      <c r="Z114" s="412"/>
      <c r="AA114" s="404"/>
      <c r="AB114" s="407"/>
      <c r="AC114" s="408"/>
      <c r="AD114" s="407"/>
      <c r="AE114" s="413"/>
      <c r="AF114" s="413"/>
      <c r="AG114" s="413"/>
      <c r="AH114" s="408"/>
      <c r="AI114" s="414"/>
      <c r="AJ114" s="408"/>
      <c r="AK114" s="408"/>
      <c r="AL114" s="408"/>
      <c r="AM114" s="415"/>
      <c r="AN114" s="408"/>
      <c r="AO114" s="27"/>
      <c r="AP114" s="416"/>
    </row>
    <row r="115" spans="1:42" ht="15" customHeight="1" x14ac:dyDescent="0.25">
      <c r="A115" s="21"/>
      <c r="H115" s="211"/>
      <c r="I115" s="643"/>
      <c r="J115" s="643"/>
      <c r="K115" s="643"/>
      <c r="L115" s="643"/>
      <c r="M115" s="643"/>
      <c r="N115" s="212"/>
      <c r="O115" s="451" t="s">
        <v>67</v>
      </c>
      <c r="P115" s="451"/>
      <c r="Q115" s="451"/>
      <c r="R115" s="451"/>
      <c r="S115" s="451"/>
      <c r="T115" s="451"/>
      <c r="U115" s="452"/>
      <c r="V115" s="451" t="s">
        <v>247</v>
      </c>
      <c r="W115" s="451"/>
      <c r="X115" s="451"/>
      <c r="Y115" s="451"/>
      <c r="Z115" s="452"/>
      <c r="AA115" s="174"/>
      <c r="AB115" s="446" t="s">
        <v>437</v>
      </c>
      <c r="AC115" s="447"/>
      <c r="AD115" s="217"/>
      <c r="AE115" s="218"/>
      <c r="AF115" s="218"/>
      <c r="AG115" s="219"/>
      <c r="AH115" s="368" t="s">
        <v>122</v>
      </c>
      <c r="AI115" s="237"/>
      <c r="AJ115" s="284"/>
      <c r="AK115" s="285"/>
      <c r="AL115" s="220" t="s">
        <v>261</v>
      </c>
      <c r="AM115" s="206"/>
      <c r="AN115" s="286">
        <f>AN102*0.35</f>
        <v>69.3</v>
      </c>
      <c r="AO115" s="218" t="s">
        <v>62</v>
      </c>
      <c r="AP115" s="207"/>
    </row>
    <row r="116" spans="1:42" ht="19.5" customHeight="1" x14ac:dyDescent="0.25">
      <c r="A116" s="21"/>
      <c r="H116" s="211"/>
      <c r="I116" s="643"/>
      <c r="J116" s="643"/>
      <c r="K116" s="643"/>
      <c r="L116" s="643"/>
      <c r="M116" s="643"/>
      <c r="N116" s="212"/>
      <c r="O116" s="637"/>
      <c r="P116" s="637"/>
      <c r="Q116" s="637"/>
      <c r="R116" s="637"/>
      <c r="S116" s="637"/>
      <c r="T116" s="637"/>
      <c r="U116" s="455"/>
      <c r="V116" s="363" t="s">
        <v>258</v>
      </c>
      <c r="W116" s="288" t="s">
        <v>257</v>
      </c>
      <c r="X116" s="378">
        <f>ROUND(AN115,0)</f>
        <v>69</v>
      </c>
      <c r="Y116" s="149" t="s">
        <v>438</v>
      </c>
      <c r="Z116" s="279"/>
      <c r="AA116" s="57"/>
      <c r="AB116" s="448"/>
      <c r="AC116" s="449"/>
      <c r="AD116" s="79"/>
      <c r="AE116" s="16"/>
      <c r="AF116" s="16"/>
      <c r="AG116" s="66"/>
      <c r="AH116" s="138"/>
      <c r="AI116" s="238"/>
      <c r="AJ116" s="239"/>
      <c r="AK116" s="240"/>
      <c r="AL116" s="401"/>
      <c r="AM116" s="89"/>
      <c r="AN116" s="402"/>
      <c r="AO116" s="11"/>
      <c r="AP116" s="276"/>
    </row>
    <row r="117" spans="1:42" x14ac:dyDescent="0.25">
      <c r="A117" s="21"/>
      <c r="H117" s="211"/>
      <c r="I117" s="643"/>
      <c r="J117" s="643"/>
      <c r="K117" s="643"/>
      <c r="L117" s="643"/>
      <c r="M117" s="643"/>
      <c r="N117" s="212"/>
      <c r="O117" s="637" t="s">
        <v>69</v>
      </c>
      <c r="P117" s="637"/>
      <c r="Q117" s="637"/>
      <c r="R117" s="637"/>
      <c r="S117" s="637"/>
      <c r="T117" s="637"/>
      <c r="U117" s="455"/>
      <c r="V117" s="454" t="s">
        <v>116</v>
      </c>
      <c r="W117" s="454"/>
      <c r="X117" s="454"/>
      <c r="Y117" s="454"/>
      <c r="Z117" s="455"/>
      <c r="AA117" s="53"/>
      <c r="AB117" s="456" t="s">
        <v>361</v>
      </c>
      <c r="AC117" s="444"/>
      <c r="AD117" s="79"/>
      <c r="AE117" s="16"/>
      <c r="AF117" s="16"/>
      <c r="AG117" s="66"/>
      <c r="AH117" s="444" t="s">
        <v>271</v>
      </c>
      <c r="AI117" s="444"/>
      <c r="AJ117" s="444"/>
      <c r="AK117" s="444"/>
      <c r="AL117" s="444"/>
      <c r="AM117" s="16"/>
      <c r="AN117" s="409" t="s">
        <v>372</v>
      </c>
      <c r="AO117" s="430">
        <f>'Kat. 1 U-Wert'!I37</f>
        <v>2.7</v>
      </c>
      <c r="AP117" s="410" t="s">
        <v>64</v>
      </c>
    </row>
    <row r="118" spans="1:42" ht="18" x14ac:dyDescent="0.25">
      <c r="A118" s="21"/>
      <c r="H118" s="211"/>
      <c r="I118" s="643"/>
      <c r="J118" s="643"/>
      <c r="K118" s="643"/>
      <c r="L118" s="643"/>
      <c r="M118" s="643"/>
      <c r="N118" s="212"/>
      <c r="O118" s="662" t="s">
        <v>260</v>
      </c>
      <c r="P118" s="638" t="s">
        <v>257</v>
      </c>
      <c r="Q118" s="639" t="s">
        <v>259</v>
      </c>
      <c r="R118" s="640" t="s">
        <v>248</v>
      </c>
      <c r="S118" s="639" t="s">
        <v>256</v>
      </c>
      <c r="T118" s="640" t="s">
        <v>248</v>
      </c>
      <c r="U118" s="204" t="s">
        <v>258</v>
      </c>
      <c r="V118" s="304" t="s">
        <v>256</v>
      </c>
      <c r="W118" s="224" t="s">
        <v>257</v>
      </c>
      <c r="X118" s="356">
        <f>AO117</f>
        <v>2.7</v>
      </c>
      <c r="Y118" s="53"/>
      <c r="Z118" s="139"/>
      <c r="AA118" s="53"/>
      <c r="AB118" s="79" t="str">
        <f>'Kat. 1 U-Wert'!B37</f>
        <v>Holzfenster, zwei Scheiben</v>
      </c>
      <c r="AC118" s="15" t="s">
        <v>351</v>
      </c>
      <c r="AD118" s="79"/>
      <c r="AE118" s="16"/>
      <c r="AF118" s="16"/>
      <c r="AG118" s="66"/>
      <c r="AH118" s="444" t="s">
        <v>395</v>
      </c>
      <c r="AI118" s="444"/>
      <c r="AJ118" s="444"/>
      <c r="AK118" s="444"/>
      <c r="AL118" s="444"/>
      <c r="AM118" s="444"/>
      <c r="AN118" s="444"/>
      <c r="AO118" s="444"/>
      <c r="AP118" s="457"/>
    </row>
    <row r="119" spans="1:42" ht="18.75" customHeight="1" x14ac:dyDescent="0.25">
      <c r="A119" s="21"/>
      <c r="H119" s="211"/>
      <c r="I119" s="643"/>
      <c r="J119" s="643"/>
      <c r="K119" s="643"/>
      <c r="L119" s="643"/>
      <c r="M119" s="643"/>
      <c r="N119" s="212"/>
      <c r="O119" s="889">
        <f>Q119*S119*U119</f>
        <v>173.25900000000001</v>
      </c>
      <c r="P119" s="638" t="s">
        <v>257</v>
      </c>
      <c r="Q119" s="639">
        <v>0.93</v>
      </c>
      <c r="R119" s="640" t="s">
        <v>248</v>
      </c>
      <c r="S119" s="888">
        <f>X118</f>
        <v>2.7</v>
      </c>
      <c r="T119" s="640" t="s">
        <v>248</v>
      </c>
      <c r="U119" s="230">
        <f>X116</f>
        <v>69</v>
      </c>
      <c r="V119" s="53"/>
      <c r="W119" s="53"/>
      <c r="X119" s="53"/>
      <c r="Y119" s="53"/>
      <c r="Z119" s="139"/>
      <c r="AA119" s="53"/>
      <c r="AB119" s="79" t="str">
        <f>'Kat. 1 U-Wert'!B39</f>
        <v>Kunststofffenster, Isolierverglasung</v>
      </c>
      <c r="AC119" s="15" t="s">
        <v>352</v>
      </c>
      <c r="AD119" s="70"/>
      <c r="AE119" s="16"/>
      <c r="AF119" s="16"/>
      <c r="AG119" s="66"/>
      <c r="AH119" s="444" t="s">
        <v>396</v>
      </c>
      <c r="AI119" s="444"/>
      <c r="AJ119" s="444"/>
      <c r="AK119" s="444"/>
      <c r="AL119" s="444"/>
      <c r="AM119" s="444"/>
      <c r="AN119" s="444"/>
      <c r="AO119" s="444"/>
      <c r="AP119" s="457"/>
    </row>
    <row r="120" spans="1:42" ht="18.75" customHeight="1" thickBot="1" x14ac:dyDescent="0.3">
      <c r="A120" s="21"/>
      <c r="H120" s="211"/>
      <c r="I120" s="643"/>
      <c r="J120" s="643"/>
      <c r="K120" s="643"/>
      <c r="L120" s="643"/>
      <c r="M120" s="643"/>
      <c r="N120" s="212"/>
      <c r="O120" s="178"/>
      <c r="P120" s="280"/>
      <c r="Q120" s="178"/>
      <c r="R120" s="282"/>
      <c r="S120" s="417"/>
      <c r="T120" s="282"/>
      <c r="U120" s="334"/>
      <c r="V120" s="178"/>
      <c r="W120" s="178"/>
      <c r="X120" s="178"/>
      <c r="Y120" s="178"/>
      <c r="Z120" s="266"/>
      <c r="AA120" s="178"/>
      <c r="AB120" s="267"/>
      <c r="AC120" s="180"/>
      <c r="AD120" s="418"/>
      <c r="AE120" s="72"/>
      <c r="AF120" s="72"/>
      <c r="AG120" s="213"/>
      <c r="AH120" s="490" t="s">
        <v>348</v>
      </c>
      <c r="AI120" s="490"/>
      <c r="AJ120" s="490"/>
      <c r="AK120" s="490"/>
      <c r="AL120" s="490"/>
      <c r="AM120" s="490"/>
      <c r="AN120" s="490"/>
      <c r="AO120" s="490"/>
      <c r="AP120" s="491"/>
    </row>
    <row r="121" spans="1:42" ht="18.75" customHeight="1" thickBot="1" x14ac:dyDescent="0.3">
      <c r="A121" s="21"/>
      <c r="H121" s="211"/>
      <c r="I121" s="643"/>
      <c r="J121" s="643"/>
      <c r="K121" s="643"/>
      <c r="L121" s="643"/>
      <c r="M121" s="643"/>
      <c r="N121" s="212"/>
      <c r="O121" s="404"/>
      <c r="P121" s="403"/>
      <c r="Q121" s="404"/>
      <c r="R121" s="405"/>
      <c r="S121" s="419"/>
      <c r="T121" s="405"/>
      <c r="U121" s="428"/>
      <c r="V121" s="404"/>
      <c r="W121" s="404"/>
      <c r="X121" s="404"/>
      <c r="Y121" s="404"/>
      <c r="Z121" s="404"/>
      <c r="AA121" s="404"/>
      <c r="AB121" s="407"/>
      <c r="AC121" s="408"/>
      <c r="AD121" s="413"/>
      <c r="AE121" s="413"/>
      <c r="AF121" s="413"/>
      <c r="AG121" s="413"/>
      <c r="AH121" s="420"/>
      <c r="AI121" s="420"/>
      <c r="AJ121" s="420"/>
      <c r="AK121" s="420"/>
      <c r="AL121" s="420"/>
      <c r="AM121" s="420"/>
      <c r="AN121" s="420"/>
      <c r="AO121" s="420"/>
      <c r="AP121" s="421"/>
    </row>
    <row r="122" spans="1:42" ht="17.25" customHeight="1" x14ac:dyDescent="0.25">
      <c r="A122" s="21"/>
      <c r="H122" s="211"/>
      <c r="I122" s="643"/>
      <c r="J122" s="643"/>
      <c r="K122" s="643"/>
      <c r="L122" s="643"/>
      <c r="M122" s="643"/>
      <c r="N122" s="212"/>
      <c r="O122" s="451" t="s">
        <v>68</v>
      </c>
      <c r="P122" s="451"/>
      <c r="Q122" s="451"/>
      <c r="R122" s="451"/>
      <c r="S122" s="451"/>
      <c r="T122" s="451"/>
      <c r="U122" s="452"/>
      <c r="V122" s="450" t="s">
        <v>247</v>
      </c>
      <c r="W122" s="451"/>
      <c r="X122" s="451"/>
      <c r="Y122" s="451"/>
      <c r="Z122" s="452"/>
      <c r="AA122" s="174"/>
      <c r="AB122" s="446" t="s">
        <v>373</v>
      </c>
      <c r="AC122" s="492"/>
      <c r="AD122" s="217"/>
      <c r="AE122" s="218"/>
      <c r="AF122" s="218"/>
      <c r="AG122" s="219"/>
      <c r="AH122" s="145" t="s">
        <v>122</v>
      </c>
      <c r="AI122" s="218"/>
      <c r="AJ122" s="218"/>
      <c r="AK122" s="218"/>
      <c r="AL122" s="220" t="s">
        <v>261</v>
      </c>
      <c r="AM122" s="218"/>
      <c r="AN122" s="349">
        <v>70</v>
      </c>
      <c r="AO122" s="218" t="s">
        <v>62</v>
      </c>
      <c r="AP122" s="219"/>
    </row>
    <row r="123" spans="1:42" ht="17.25" customHeight="1" x14ac:dyDescent="0.25">
      <c r="A123" s="21"/>
      <c r="H123" s="211"/>
      <c r="I123" s="643"/>
      <c r="J123" s="643"/>
      <c r="K123" s="643"/>
      <c r="L123" s="643"/>
      <c r="M123" s="643"/>
      <c r="N123" s="212"/>
      <c r="O123" s="637"/>
      <c r="P123" s="637"/>
      <c r="Q123" s="637"/>
      <c r="R123" s="637"/>
      <c r="S123" s="637"/>
      <c r="T123" s="637"/>
      <c r="U123" s="455"/>
      <c r="V123" s="226" t="s">
        <v>364</v>
      </c>
      <c r="W123" s="224" t="s">
        <v>257</v>
      </c>
      <c r="X123" s="927">
        <f>ROUND(AN122,0)</f>
        <v>70</v>
      </c>
      <c r="Y123" s="149" t="s">
        <v>438</v>
      </c>
      <c r="Z123" s="212"/>
      <c r="AA123" s="53"/>
      <c r="AB123" s="448"/>
      <c r="AC123" s="493"/>
      <c r="AD123" s="79"/>
      <c r="AE123" s="16"/>
      <c r="AF123" s="16"/>
      <c r="AG123" s="66"/>
      <c r="AH123" s="81"/>
      <c r="AI123" s="11"/>
      <c r="AJ123" s="221"/>
      <c r="AK123" s="11"/>
      <c r="AL123" s="11"/>
      <c r="AM123" s="11"/>
      <c r="AN123" s="222"/>
      <c r="AO123" s="11"/>
      <c r="AP123" s="67"/>
    </row>
    <row r="124" spans="1:42" ht="18" customHeight="1" x14ac:dyDescent="0.25">
      <c r="A124" s="21"/>
      <c r="H124" s="211"/>
      <c r="I124" s="643"/>
      <c r="J124" s="643"/>
      <c r="K124" s="643"/>
      <c r="L124" s="643"/>
      <c r="M124" s="643"/>
      <c r="N124" s="212"/>
      <c r="O124" s="637" t="s">
        <v>69</v>
      </c>
      <c r="P124" s="637"/>
      <c r="Q124" s="637"/>
      <c r="R124" s="637"/>
      <c r="S124" s="637"/>
      <c r="T124" s="637"/>
      <c r="U124" s="455"/>
      <c r="V124" s="504" t="s">
        <v>116</v>
      </c>
      <c r="W124" s="483"/>
      <c r="X124" s="483"/>
      <c r="Y124" s="483"/>
      <c r="Z124" s="505"/>
      <c r="AA124" s="53"/>
      <c r="AB124" s="456" t="s">
        <v>361</v>
      </c>
      <c r="AC124" s="444"/>
      <c r="AD124" s="79"/>
      <c r="AE124" s="16"/>
      <c r="AF124" s="16"/>
      <c r="AG124" s="66"/>
      <c r="AH124" s="456" t="s">
        <v>123</v>
      </c>
      <c r="AI124" s="444"/>
      <c r="AJ124" s="444"/>
      <c r="AK124" s="444"/>
      <c r="AL124" s="444"/>
      <c r="AM124" s="444"/>
      <c r="AN124" s="444"/>
      <c r="AO124" s="444"/>
      <c r="AP124" s="457"/>
    </row>
    <row r="125" spans="1:42" ht="18" customHeight="1" x14ac:dyDescent="0.25">
      <c r="A125" s="21"/>
      <c r="H125" s="211"/>
      <c r="I125" s="643"/>
      <c r="J125" s="643"/>
      <c r="K125" s="643"/>
      <c r="L125" s="643"/>
      <c r="M125" s="643"/>
      <c r="N125" s="212"/>
      <c r="O125" s="662" t="s">
        <v>260</v>
      </c>
      <c r="P125" s="638" t="s">
        <v>257</v>
      </c>
      <c r="Q125" s="639"/>
      <c r="R125" s="640"/>
      <c r="S125" s="639" t="s">
        <v>256</v>
      </c>
      <c r="T125" s="640" t="s">
        <v>248</v>
      </c>
      <c r="U125" s="204" t="s">
        <v>258</v>
      </c>
      <c r="V125" s="226" t="s">
        <v>256</v>
      </c>
      <c r="W125" s="305" t="s">
        <v>257</v>
      </c>
      <c r="X125" s="305" t="s">
        <v>290</v>
      </c>
      <c r="Y125" s="53" t="s">
        <v>250</v>
      </c>
      <c r="Z125" s="204" t="s">
        <v>288</v>
      </c>
      <c r="AA125" s="53"/>
      <c r="AB125" s="79" t="str">
        <f>'Kat. 1 U-Wert'!B24</f>
        <v>Kellerdecke 
Stahlbeton massiv</v>
      </c>
      <c r="AC125" s="15" t="s">
        <v>380</v>
      </c>
      <c r="AD125" s="79"/>
      <c r="AE125" s="16"/>
      <c r="AF125" s="16"/>
      <c r="AG125" s="66"/>
      <c r="AH125" s="70" t="str">
        <f>'Kat. 1 U-Wert'!B24</f>
        <v>Kellerdecke 
Stahlbeton massiv</v>
      </c>
      <c r="AI125" s="16"/>
      <c r="AJ125" s="16"/>
      <c r="AK125" s="16"/>
      <c r="AL125" s="16"/>
      <c r="AM125" s="466" t="s">
        <v>381</v>
      </c>
      <c r="AN125" s="466"/>
      <c r="AO125" s="466"/>
      <c r="AP125" s="494">
        <f>'Kat. 1 U-Wert'!F24</f>
        <v>1</v>
      </c>
    </row>
    <row r="126" spans="1:42" ht="18" customHeight="1" x14ac:dyDescent="0.25">
      <c r="A126" s="21"/>
      <c r="H126" s="211"/>
      <c r="I126" s="643"/>
      <c r="J126" s="643"/>
      <c r="K126" s="643"/>
      <c r="L126" s="643"/>
      <c r="M126" s="643"/>
      <c r="N126" s="212"/>
      <c r="O126" s="890">
        <f>S126*U126</f>
        <v>70</v>
      </c>
      <c r="P126" s="638" t="s">
        <v>257</v>
      </c>
      <c r="Q126" s="639"/>
      <c r="R126" s="640"/>
      <c r="S126" s="641">
        <f>V126</f>
        <v>1</v>
      </c>
      <c r="T126" s="640" t="s">
        <v>248</v>
      </c>
      <c r="U126" s="204">
        <f>X123</f>
        <v>70</v>
      </c>
      <c r="V126" s="348">
        <f>X126/Z126</f>
        <v>1</v>
      </c>
      <c r="W126" s="305" t="s">
        <v>257</v>
      </c>
      <c r="X126" s="262">
        <v>1</v>
      </c>
      <c r="Y126" s="53" t="s">
        <v>250</v>
      </c>
      <c r="Z126" s="347">
        <f>AH129+AH131</f>
        <v>1</v>
      </c>
      <c r="AA126" s="53"/>
      <c r="AB126" s="79" t="str">
        <f>'Kat. 1 U-Wert'!B25</f>
        <v>Kellerdecke 
als Holzbalkendecke</v>
      </c>
      <c r="AC126" s="15" t="s">
        <v>379</v>
      </c>
      <c r="AD126" s="79"/>
      <c r="AE126" s="16"/>
      <c r="AF126" s="16"/>
      <c r="AG126" s="66"/>
      <c r="AH126" s="79" t="str">
        <f>'Kat. 1 U-Wert'!B25</f>
        <v>Kellerdecke 
als Holzbalkendecke</v>
      </c>
      <c r="AI126" s="16"/>
      <c r="AJ126" s="16"/>
      <c r="AK126" s="16"/>
      <c r="AL126" s="16"/>
      <c r="AM126" s="466" t="s">
        <v>381</v>
      </c>
      <c r="AN126" s="466"/>
      <c r="AO126" s="466"/>
      <c r="AP126" s="494"/>
    </row>
    <row r="127" spans="1:42" ht="18" customHeight="1" x14ac:dyDescent="0.25">
      <c r="A127" s="21"/>
      <c r="H127" s="211"/>
      <c r="I127" s="643"/>
      <c r="J127" s="643"/>
      <c r="K127" s="643"/>
      <c r="L127" s="643"/>
      <c r="M127" s="643"/>
      <c r="N127" s="212"/>
      <c r="O127" s="639"/>
      <c r="P127" s="639"/>
      <c r="Q127" s="639"/>
      <c r="R127" s="639"/>
      <c r="S127" s="639"/>
      <c r="T127" s="639"/>
      <c r="U127" s="139"/>
      <c r="V127" s="226"/>
      <c r="W127" s="224"/>
      <c r="X127" s="53"/>
      <c r="Y127" s="53"/>
      <c r="Z127" s="139"/>
      <c r="AA127" s="53"/>
      <c r="AB127" s="79" t="str">
        <f>'Kat. 1 U-Wert'!B26</f>
        <v>Boden gegen Erdreich,
Stahlbeton massiv</v>
      </c>
      <c r="AC127" s="15" t="s">
        <v>378</v>
      </c>
      <c r="AD127" s="79"/>
      <c r="AE127" s="16"/>
      <c r="AF127" s="16"/>
      <c r="AG127" s="66"/>
      <c r="AH127" s="495" t="s">
        <v>111</v>
      </c>
      <c r="AI127" s="445"/>
      <c r="AJ127" s="445"/>
      <c r="AK127" s="11"/>
      <c r="AL127" s="222">
        <v>0</v>
      </c>
      <c r="AM127" s="89" t="s">
        <v>252</v>
      </c>
      <c r="AN127" s="496" t="s">
        <v>254</v>
      </c>
      <c r="AO127" s="496"/>
      <c r="AP127" s="242">
        <v>0.3</v>
      </c>
    </row>
    <row r="128" spans="1:42" ht="18" customHeight="1" x14ac:dyDescent="0.25">
      <c r="H128" s="211"/>
      <c r="I128" s="643"/>
      <c r="J128" s="643"/>
      <c r="K128" s="643"/>
      <c r="L128" s="643"/>
      <c r="M128" s="643"/>
      <c r="N128" s="212"/>
      <c r="O128" s="639"/>
      <c r="P128" s="639"/>
      <c r="Q128" s="639"/>
      <c r="R128" s="639"/>
      <c r="S128" s="639"/>
      <c r="T128" s="639"/>
      <c r="U128" s="139"/>
      <c r="V128" s="115"/>
      <c r="W128" s="53"/>
      <c r="X128" s="53"/>
      <c r="Y128" s="53"/>
      <c r="Z128" s="139"/>
      <c r="AA128" s="53"/>
      <c r="AB128" s="78"/>
      <c r="AC128" s="15"/>
      <c r="AD128" s="79"/>
      <c r="AE128" s="16"/>
      <c r="AF128" s="16"/>
      <c r="AG128" s="66"/>
      <c r="AH128" s="78" t="s">
        <v>429</v>
      </c>
      <c r="AI128" s="250" t="s">
        <v>257</v>
      </c>
      <c r="AJ128" s="249" t="s">
        <v>284</v>
      </c>
      <c r="AK128" s="250" t="s">
        <v>255</v>
      </c>
      <c r="AL128" s="15" t="s">
        <v>249</v>
      </c>
      <c r="AM128" s="15" t="s">
        <v>250</v>
      </c>
      <c r="AN128" s="15" t="s">
        <v>287</v>
      </c>
      <c r="AO128" s="248" t="s">
        <v>255</v>
      </c>
      <c r="AP128" s="103" t="s">
        <v>285</v>
      </c>
    </row>
    <row r="129" spans="1:42" ht="18" customHeight="1" x14ac:dyDescent="0.25">
      <c r="H129" s="211"/>
      <c r="I129" s="643"/>
      <c r="J129" s="643"/>
      <c r="K129" s="643"/>
      <c r="L129" s="643"/>
      <c r="M129" s="643"/>
      <c r="N129" s="212"/>
      <c r="O129" s="639"/>
      <c r="P129" s="639"/>
      <c r="Q129" s="639"/>
      <c r="R129" s="639"/>
      <c r="S129" s="639"/>
      <c r="T129" s="639"/>
      <c r="U129" s="139"/>
      <c r="V129" s="115"/>
      <c r="W129" s="53"/>
      <c r="X129" s="53"/>
      <c r="Y129" s="53"/>
      <c r="Z129" s="139"/>
      <c r="AA129" s="53"/>
      <c r="AB129" s="78"/>
      <c r="AC129" s="15"/>
      <c r="AD129" s="79"/>
      <c r="AE129" s="16"/>
      <c r="AF129" s="16"/>
      <c r="AG129" s="66"/>
      <c r="AH129" s="424">
        <f>AJ129+(AL129/AN129)+AP129</f>
        <v>0</v>
      </c>
      <c r="AI129" s="238" t="s">
        <v>257</v>
      </c>
      <c r="AJ129" s="239">
        <f>IF(AL127&gt;0,'[1]Kat. 1 U-Wert'!G174,0)</f>
        <v>0</v>
      </c>
      <c r="AK129" s="240" t="s">
        <v>255</v>
      </c>
      <c r="AL129" s="239">
        <f>AL127</f>
        <v>0</v>
      </c>
      <c r="AM129" s="89" t="s">
        <v>250</v>
      </c>
      <c r="AN129" s="241">
        <f>AP127</f>
        <v>0.3</v>
      </c>
      <c r="AO129" s="238" t="s">
        <v>255</v>
      </c>
      <c r="AP129" s="242">
        <f>IF(AL127&gt;0,'[1]Kat. 1 U-Wert'!G175,0)</f>
        <v>0</v>
      </c>
    </row>
    <row r="130" spans="1:42" ht="18" customHeight="1" x14ac:dyDescent="0.25">
      <c r="H130" s="211"/>
      <c r="I130" s="643"/>
      <c r="J130" s="643"/>
      <c r="K130" s="643"/>
      <c r="L130" s="643"/>
      <c r="M130" s="643"/>
      <c r="N130" s="212"/>
      <c r="O130" s="639"/>
      <c r="P130" s="639"/>
      <c r="Q130" s="639"/>
      <c r="R130" s="639"/>
      <c r="S130" s="639"/>
      <c r="T130" s="639"/>
      <c r="U130" s="139"/>
      <c r="V130" s="115"/>
      <c r="W130" s="53"/>
      <c r="X130" s="53"/>
      <c r="Y130" s="53"/>
      <c r="Z130" s="139"/>
      <c r="AA130" s="53"/>
      <c r="AB130" s="78"/>
      <c r="AC130" s="15"/>
      <c r="AD130" s="79"/>
      <c r="AE130" s="16"/>
      <c r="AF130" s="16"/>
      <c r="AG130" s="66"/>
      <c r="AH130" s="300" t="s">
        <v>428</v>
      </c>
      <c r="AI130" s="255" t="s">
        <v>257</v>
      </c>
      <c r="AJ130" s="55">
        <v>1</v>
      </c>
      <c r="AK130" s="55" t="s">
        <v>250</v>
      </c>
      <c r="AL130" s="442" t="s">
        <v>381</v>
      </c>
      <c r="AM130" s="442"/>
      <c r="AN130" s="442"/>
      <c r="AO130" s="58"/>
      <c r="AP130" s="236"/>
    </row>
    <row r="131" spans="1:42" ht="18" customHeight="1" x14ac:dyDescent="0.25">
      <c r="H131" s="211"/>
      <c r="I131" s="643"/>
      <c r="J131" s="643"/>
      <c r="K131" s="643"/>
      <c r="L131" s="643"/>
      <c r="M131" s="643"/>
      <c r="N131" s="212"/>
      <c r="O131" s="639"/>
      <c r="P131" s="639"/>
      <c r="Q131" s="639"/>
      <c r="R131" s="639"/>
      <c r="S131" s="639"/>
      <c r="T131" s="639"/>
      <c r="U131" s="139"/>
      <c r="V131" s="115"/>
      <c r="W131" s="53"/>
      <c r="X131" s="53"/>
      <c r="Y131" s="53"/>
      <c r="Z131" s="139"/>
      <c r="AA131" s="53"/>
      <c r="AB131" s="78"/>
      <c r="AC131" s="15"/>
      <c r="AD131" s="79"/>
      <c r="AE131" s="16"/>
      <c r="AF131" s="16"/>
      <c r="AG131" s="66"/>
      <c r="AH131" s="425">
        <f>AJ131/AL131</f>
        <v>1</v>
      </c>
      <c r="AI131" s="238" t="s">
        <v>257</v>
      </c>
      <c r="AJ131" s="89">
        <v>1</v>
      </c>
      <c r="AK131" s="89" t="s">
        <v>250</v>
      </c>
      <c r="AL131" s="443">
        <f>AP125</f>
        <v>1</v>
      </c>
      <c r="AM131" s="443"/>
      <c r="AN131" s="443"/>
      <c r="AO131" s="59"/>
      <c r="AP131" s="276"/>
    </row>
    <row r="132" spans="1:42" ht="18" customHeight="1" x14ac:dyDescent="0.25">
      <c r="H132" s="211"/>
      <c r="I132" s="643"/>
      <c r="J132" s="643"/>
      <c r="K132" s="643"/>
      <c r="L132" s="643"/>
      <c r="M132" s="643"/>
      <c r="N132" s="212"/>
      <c r="O132" s="639"/>
      <c r="P132" s="639"/>
      <c r="Q132" s="639"/>
      <c r="R132" s="639"/>
      <c r="S132" s="639"/>
      <c r="T132" s="639"/>
      <c r="U132" s="139"/>
      <c r="V132" s="115"/>
      <c r="W132" s="53"/>
      <c r="X132" s="53"/>
      <c r="Y132" s="53"/>
      <c r="Z132" s="139"/>
      <c r="AA132" s="53"/>
      <c r="AB132" s="78"/>
      <c r="AC132" s="15"/>
      <c r="AD132" s="79"/>
      <c r="AE132" s="16"/>
      <c r="AF132" s="16"/>
      <c r="AG132" s="66"/>
      <c r="AH132" s="300" t="s">
        <v>427</v>
      </c>
      <c r="AI132" s="255" t="s">
        <v>257</v>
      </c>
      <c r="AJ132" s="55"/>
      <c r="AK132" s="55"/>
      <c r="AL132" s="55" t="s">
        <v>430</v>
      </c>
      <c r="AM132" s="342" t="s">
        <v>255</v>
      </c>
      <c r="AN132" s="55" t="s">
        <v>431</v>
      </c>
      <c r="AO132" s="58"/>
      <c r="AP132" s="236"/>
    </row>
    <row r="133" spans="1:42" ht="18" customHeight="1" thickBot="1" x14ac:dyDescent="0.3">
      <c r="H133" s="211"/>
      <c r="I133" s="643"/>
      <c r="J133" s="643"/>
      <c r="K133" s="643"/>
      <c r="L133" s="643"/>
      <c r="M133" s="643"/>
      <c r="N133" s="212"/>
      <c r="O133" s="178"/>
      <c r="P133" s="178"/>
      <c r="Q133" s="178"/>
      <c r="R133" s="178"/>
      <c r="S133" s="178"/>
      <c r="T133" s="178"/>
      <c r="U133" s="266"/>
      <c r="V133" s="177"/>
      <c r="W133" s="178"/>
      <c r="X133" s="178"/>
      <c r="Y133" s="178"/>
      <c r="Z133" s="266"/>
      <c r="AA133" s="178"/>
      <c r="AB133" s="268"/>
      <c r="AC133" s="180"/>
      <c r="AD133" s="267"/>
      <c r="AE133" s="72"/>
      <c r="AF133" s="72"/>
      <c r="AG133" s="213"/>
      <c r="AH133" s="426">
        <f>AL133+AN133</f>
        <v>1</v>
      </c>
      <c r="AI133" s="269" t="s">
        <v>257</v>
      </c>
      <c r="AJ133" s="180"/>
      <c r="AK133" s="180"/>
      <c r="AL133" s="359">
        <f>AH131</f>
        <v>1</v>
      </c>
      <c r="AM133" s="360" t="s">
        <v>255</v>
      </c>
      <c r="AN133" s="361">
        <f>AH129</f>
        <v>0</v>
      </c>
      <c r="AO133" s="25"/>
      <c r="AP133" s="273"/>
    </row>
    <row r="134" spans="1:42" ht="15.75" thickBot="1" x14ac:dyDescent="0.3">
      <c r="H134" s="21"/>
      <c r="I134" s="642"/>
      <c r="J134" s="642"/>
      <c r="K134" s="642"/>
      <c r="L134" s="642"/>
      <c r="M134" s="642"/>
      <c r="N134" s="22"/>
      <c r="O134" s="29"/>
      <c r="P134" s="29"/>
      <c r="Q134" s="29"/>
      <c r="R134" s="29"/>
      <c r="S134" s="29"/>
      <c r="T134" s="29"/>
      <c r="U134" s="29"/>
      <c r="V134" s="670"/>
      <c r="W134" s="670"/>
      <c r="X134" s="670"/>
      <c r="Y134" s="670"/>
      <c r="Z134" s="670"/>
      <c r="AA134" s="29"/>
      <c r="AB134" s="29"/>
      <c r="AC134" s="29"/>
      <c r="AD134" s="670"/>
      <c r="AE134" s="670"/>
      <c r="AF134" s="670"/>
      <c r="AG134" s="670"/>
      <c r="AH134" s="670"/>
      <c r="AI134" s="670"/>
      <c r="AJ134" s="670"/>
      <c r="AK134" s="670"/>
      <c r="AL134" s="670"/>
      <c r="AM134" s="670"/>
      <c r="AN134" s="670"/>
      <c r="AO134" s="670"/>
      <c r="AP134" s="183"/>
    </row>
    <row r="135" spans="1:42" ht="15" customHeight="1" x14ac:dyDescent="0.25">
      <c r="A135" s="21"/>
      <c r="H135" s="21"/>
      <c r="I135" s="642"/>
      <c r="J135" s="642"/>
      <c r="K135" s="642"/>
      <c r="L135" s="642"/>
      <c r="M135" s="642"/>
      <c r="N135" s="22"/>
      <c r="O135" s="451" t="s">
        <v>564</v>
      </c>
      <c r="P135" s="451"/>
      <c r="Q135" s="451"/>
      <c r="R135" s="451"/>
      <c r="S135" s="451"/>
      <c r="T135" s="451"/>
      <c r="U135" s="452"/>
      <c r="V135" s="450" t="s">
        <v>561</v>
      </c>
      <c r="W135" s="451"/>
      <c r="X135" s="451"/>
      <c r="Y135" s="451"/>
      <c r="Z135" s="452"/>
      <c r="AA135" s="19"/>
      <c r="AB135" s="367" t="s">
        <v>81</v>
      </c>
      <c r="AC135" s="206">
        <v>0.79</v>
      </c>
      <c r="AD135" s="145"/>
      <c r="AE135" s="218"/>
      <c r="AF135" s="218"/>
      <c r="AG135" s="218"/>
      <c r="AH135" s="145"/>
      <c r="AI135" s="218"/>
      <c r="AJ135" s="218"/>
      <c r="AK135" s="218"/>
      <c r="AL135" s="218"/>
      <c r="AM135" s="218"/>
      <c r="AN135" s="218"/>
      <c r="AO135" s="218"/>
      <c r="AP135" s="219"/>
    </row>
    <row r="136" spans="1:42" ht="18" x14ac:dyDescent="0.35">
      <c r="A136" s="21"/>
      <c r="H136" s="21"/>
      <c r="I136" s="642"/>
      <c r="J136" s="642"/>
      <c r="K136" s="642"/>
      <c r="L136" s="642"/>
      <c r="M136" s="642"/>
      <c r="N136" s="22"/>
      <c r="O136" s="729" t="s">
        <v>563</v>
      </c>
      <c r="P136" s="729"/>
      <c r="Q136" s="729"/>
      <c r="R136" s="729"/>
      <c r="S136" s="729"/>
      <c r="T136" s="729"/>
      <c r="U136" s="843"/>
      <c r="V136" s="453">
        <f>Berechnungen!D35</f>
        <v>0.79</v>
      </c>
      <c r="W136" s="637"/>
      <c r="X136" s="637"/>
      <c r="Y136" s="637"/>
      <c r="Z136" s="455"/>
      <c r="AA136" s="642"/>
      <c r="AB136" s="80" t="s">
        <v>82</v>
      </c>
      <c r="AC136" s="653">
        <v>0.5</v>
      </c>
      <c r="AD136" s="70"/>
      <c r="AE136" s="655"/>
      <c r="AF136" s="655"/>
      <c r="AG136" s="655"/>
      <c r="AH136" s="70"/>
      <c r="AI136" s="655"/>
      <c r="AJ136" s="655"/>
      <c r="AK136" s="655"/>
      <c r="AL136" s="655"/>
      <c r="AM136" s="655"/>
      <c r="AN136" s="655"/>
      <c r="AO136" s="655"/>
      <c r="AP136" s="66"/>
    </row>
    <row r="137" spans="1:42" ht="15" customHeight="1" x14ac:dyDescent="0.25">
      <c r="A137" s="21"/>
      <c r="H137" s="21"/>
      <c r="I137" s="642"/>
      <c r="J137" s="642"/>
      <c r="K137" s="642"/>
      <c r="L137" s="642"/>
      <c r="M137" s="642"/>
      <c r="N137" s="22"/>
      <c r="O137" s="639" t="s">
        <v>522</v>
      </c>
      <c r="P137" s="638" t="s">
        <v>257</v>
      </c>
      <c r="Q137" s="653" t="s">
        <v>517</v>
      </c>
      <c r="R137" s="638" t="s">
        <v>248</v>
      </c>
      <c r="S137" s="653">
        <v>0.34</v>
      </c>
      <c r="T137" s="638" t="s">
        <v>248</v>
      </c>
      <c r="U137" s="103" t="s">
        <v>508</v>
      </c>
      <c r="V137" s="504" t="s">
        <v>562</v>
      </c>
      <c r="W137" s="483"/>
      <c r="X137" s="483"/>
      <c r="Y137" s="483"/>
      <c r="Z137" s="505"/>
      <c r="AA137" s="643"/>
      <c r="AB137" s="90" t="s">
        <v>560</v>
      </c>
      <c r="AC137" s="55"/>
      <c r="AD137" s="70"/>
      <c r="AE137" s="655"/>
      <c r="AF137" s="655"/>
      <c r="AG137" s="655"/>
      <c r="AH137" s="70"/>
      <c r="AI137" s="655"/>
      <c r="AJ137" s="655"/>
      <c r="AK137" s="655"/>
      <c r="AL137" s="655"/>
      <c r="AM137" s="655"/>
      <c r="AN137" s="655"/>
      <c r="AO137" s="655"/>
      <c r="AP137" s="66"/>
    </row>
    <row r="138" spans="1:42" ht="15" customHeight="1" thickBot="1" x14ac:dyDescent="0.3">
      <c r="A138" s="21"/>
      <c r="H138" s="24"/>
      <c r="I138" s="25"/>
      <c r="J138" s="25"/>
      <c r="K138" s="25"/>
      <c r="L138" s="25"/>
      <c r="M138" s="25"/>
      <c r="N138" s="26"/>
      <c r="O138" s="891">
        <f>Q138*S138*U138</f>
        <v>86.489199999999997</v>
      </c>
      <c r="P138" s="280" t="s">
        <v>257</v>
      </c>
      <c r="Q138" s="417">
        <f>V136</f>
        <v>0.79</v>
      </c>
      <c r="R138" s="280" t="s">
        <v>248</v>
      </c>
      <c r="S138" s="178">
        <v>0.34</v>
      </c>
      <c r="T138" s="280" t="s">
        <v>248</v>
      </c>
      <c r="U138" s="266">
        <f>V138</f>
        <v>322</v>
      </c>
      <c r="V138" s="458">
        <f>ROUNDUP(Berechnungen!B10,0)</f>
        <v>322</v>
      </c>
      <c r="W138" s="459"/>
      <c r="X138" s="459"/>
      <c r="Y138" s="459"/>
      <c r="Z138" s="570"/>
      <c r="AA138" s="264"/>
      <c r="AB138" s="24"/>
      <c r="AC138" s="180"/>
      <c r="AD138" s="841"/>
      <c r="AE138" s="462"/>
      <c r="AF138" s="462"/>
      <c r="AG138" s="462"/>
      <c r="AH138" s="841"/>
      <c r="AI138" s="462"/>
      <c r="AJ138" s="462"/>
      <c r="AK138" s="462"/>
      <c r="AL138" s="462"/>
      <c r="AM138" s="462"/>
      <c r="AN138" s="462"/>
      <c r="AO138" s="462"/>
      <c r="AP138" s="842"/>
    </row>
    <row r="139" spans="1:42" x14ac:dyDescent="0.25">
      <c r="A139" s="21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D139" s="299"/>
      <c r="AE139" s="16"/>
      <c r="AF139" s="16"/>
      <c r="AG139" s="16"/>
    </row>
    <row r="140" spans="1:42" s="95" customFormat="1" x14ac:dyDescent="0.25">
      <c r="A140" s="101"/>
      <c r="H140" s="102"/>
      <c r="I140" s="102"/>
      <c r="J140" s="102"/>
      <c r="K140" s="102"/>
      <c r="L140" s="102"/>
      <c r="M140" s="102"/>
      <c r="N140" s="102"/>
      <c r="AE140" s="434"/>
      <c r="AF140" s="434"/>
      <c r="AG140" s="434"/>
    </row>
    <row r="141" spans="1:42" ht="15.75" hidden="1" thickBot="1" x14ac:dyDescent="0.3">
      <c r="A141" s="21"/>
      <c r="AH141" s="24"/>
      <c r="AI141" s="25"/>
      <c r="AJ141" s="25"/>
      <c r="AK141" s="25"/>
      <c r="AL141" s="25"/>
      <c r="AM141" s="25"/>
      <c r="AN141" s="25"/>
      <c r="AO141" s="25"/>
      <c r="AP141" s="26"/>
    </row>
    <row r="142" spans="1:42" ht="16.5" hidden="1" thickBot="1" x14ac:dyDescent="0.3">
      <c r="A142" s="24"/>
      <c r="B142" s="29"/>
      <c r="C142" s="29"/>
      <c r="D142" s="29"/>
      <c r="E142" s="29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477" t="s">
        <v>0</v>
      </c>
      <c r="AC142" s="478"/>
      <c r="AD142" s="472" t="s">
        <v>1</v>
      </c>
      <c r="AE142" s="471"/>
      <c r="AF142" s="471"/>
      <c r="AG142" s="471"/>
      <c r="AH142" s="477" t="s">
        <v>2</v>
      </c>
      <c r="AI142" s="481"/>
      <c r="AJ142" s="481"/>
      <c r="AK142" s="481"/>
      <c r="AL142" s="481"/>
      <c r="AM142" s="481"/>
      <c r="AN142" s="481"/>
      <c r="AO142" s="481"/>
      <c r="AP142" s="478"/>
    </row>
    <row r="143" spans="1:42" ht="19.5" hidden="1" thickBot="1" x14ac:dyDescent="0.35">
      <c r="A143" s="51" t="s">
        <v>85</v>
      </c>
      <c r="AB143" s="60"/>
      <c r="AC143" s="20"/>
      <c r="AH143" s="60"/>
      <c r="AI143" s="19"/>
      <c r="AJ143" s="19"/>
      <c r="AK143" s="19"/>
      <c r="AL143" s="19"/>
      <c r="AM143" s="19"/>
      <c r="AN143" s="19"/>
      <c r="AO143" s="19"/>
      <c r="AP143" s="20"/>
    </row>
    <row r="144" spans="1:42" hidden="1" x14ac:dyDescent="0.25">
      <c r="O144" s="450" t="s">
        <v>300</v>
      </c>
      <c r="P144" s="451"/>
      <c r="Q144" s="451"/>
      <c r="R144" s="451"/>
      <c r="S144" s="451"/>
      <c r="T144" s="451"/>
      <c r="U144" s="476"/>
      <c r="V144" s="487" t="s">
        <v>63</v>
      </c>
      <c r="W144" s="488"/>
      <c r="X144" s="488"/>
      <c r="Y144" s="488"/>
      <c r="Z144" s="489"/>
      <c r="AA144" s="175" t="s">
        <v>63</v>
      </c>
      <c r="AB144" s="172" t="s">
        <v>100</v>
      </c>
      <c r="AC144" s="170"/>
      <c r="AD144" s="171" t="s">
        <v>302</v>
      </c>
      <c r="AE144" s="171"/>
      <c r="AF144" s="171"/>
      <c r="AG144" s="171"/>
      <c r="AH144" s="172" t="s">
        <v>87</v>
      </c>
      <c r="AI144" s="171"/>
      <c r="AJ144" s="171"/>
      <c r="AK144" s="171"/>
      <c r="AL144" s="171"/>
      <c r="AM144" s="171"/>
      <c r="AN144" s="171"/>
      <c r="AO144" s="171"/>
      <c r="AP144" s="173"/>
    </row>
    <row r="145" spans="1:42" ht="33" hidden="1" customHeight="1" x14ac:dyDescent="0.25">
      <c r="O145" s="453" t="s">
        <v>69</v>
      </c>
      <c r="P145" s="454"/>
      <c r="Q145" s="454"/>
      <c r="R145" s="454"/>
      <c r="S145" s="454"/>
      <c r="T145" s="454"/>
      <c r="U145" s="464"/>
      <c r="V145" s="465" t="s">
        <v>64</v>
      </c>
      <c r="W145" s="466"/>
      <c r="X145" s="466"/>
      <c r="Y145" s="466"/>
      <c r="Z145" s="467"/>
      <c r="AA145" s="176" t="s">
        <v>64</v>
      </c>
      <c r="AB145" s="142" t="s">
        <v>96</v>
      </c>
      <c r="AC145" s="169"/>
      <c r="AD145" s="144" t="s">
        <v>101</v>
      </c>
      <c r="AE145" s="167"/>
      <c r="AF145" s="167"/>
      <c r="AG145" s="167"/>
      <c r="AH145" s="143" t="s">
        <v>4</v>
      </c>
      <c r="AI145" s="105"/>
      <c r="AJ145" s="105"/>
      <c r="AK145" s="105"/>
      <c r="AL145" s="105"/>
      <c r="AM145" s="105"/>
      <c r="AN145" s="105"/>
      <c r="AO145" s="167"/>
      <c r="AP145" s="169"/>
    </row>
    <row r="146" spans="1:42" ht="60" hidden="1" customHeight="1" thickBot="1" x14ac:dyDescent="0.3">
      <c r="O146" s="458" t="s">
        <v>93</v>
      </c>
      <c r="P146" s="459"/>
      <c r="Q146" s="459"/>
      <c r="R146" s="459"/>
      <c r="S146" s="459"/>
      <c r="T146" s="459"/>
      <c r="U146" s="460"/>
      <c r="V146" s="461" t="s">
        <v>90</v>
      </c>
      <c r="W146" s="462"/>
      <c r="X146" s="462"/>
      <c r="Y146" s="462"/>
      <c r="Z146" s="463"/>
      <c r="AA146" s="181" t="s">
        <v>89</v>
      </c>
      <c r="AB146" s="142" t="s">
        <v>97</v>
      </c>
      <c r="AC146" s="169"/>
      <c r="AD146" s="144" t="s">
        <v>102</v>
      </c>
      <c r="AE146" s="167"/>
      <c r="AF146" s="167"/>
      <c r="AG146" s="167"/>
      <c r="AH146" s="143" t="s">
        <v>103</v>
      </c>
      <c r="AI146" s="105"/>
      <c r="AJ146" s="105"/>
      <c r="AK146" s="105"/>
      <c r="AL146" s="105"/>
      <c r="AM146" s="105"/>
      <c r="AN146" s="105"/>
      <c r="AO146" s="167"/>
      <c r="AP146" s="169"/>
    </row>
    <row r="147" spans="1:42" hidden="1" x14ac:dyDescent="0.25">
      <c r="AB147" s="81" t="s">
        <v>98</v>
      </c>
      <c r="AC147" s="69"/>
      <c r="AD147" s="144" t="s">
        <v>101</v>
      </c>
      <c r="AE147" s="167"/>
      <c r="AF147" s="167"/>
      <c r="AG147" s="167"/>
      <c r="AH147" s="143" t="s">
        <v>4</v>
      </c>
      <c r="AI147" s="105"/>
      <c r="AJ147" s="105"/>
      <c r="AK147" s="105"/>
      <c r="AL147" s="105"/>
      <c r="AM147" s="105"/>
      <c r="AN147" s="105"/>
      <c r="AO147" s="167"/>
      <c r="AP147" s="169"/>
    </row>
    <row r="148" spans="1:42" ht="15.75" hidden="1" thickBot="1" x14ac:dyDescent="0.3">
      <c r="AB148" s="21" t="s">
        <v>95</v>
      </c>
      <c r="AC148" s="22" t="s">
        <v>91</v>
      </c>
      <c r="AD148" t="s">
        <v>92</v>
      </c>
      <c r="AF148" t="s">
        <v>91</v>
      </c>
      <c r="AH148" s="208" t="s">
        <v>88</v>
      </c>
      <c r="AI148" s="210"/>
      <c r="AJ148" s="210"/>
      <c r="AK148" s="210"/>
      <c r="AL148" s="210"/>
      <c r="AM148" s="210"/>
      <c r="AN148" s="210"/>
      <c r="AO148" s="210"/>
      <c r="AP148" s="209"/>
    </row>
    <row r="149" spans="1:42" s="192" customFormat="1" ht="15.75" hidden="1" thickBot="1" x14ac:dyDescent="0.3">
      <c r="A149" s="191"/>
      <c r="AA149" s="194" t="s">
        <v>310</v>
      </c>
      <c r="AB149" s="191"/>
      <c r="AC149" s="193"/>
      <c r="AH149" s="191"/>
      <c r="AP149" s="193"/>
    </row>
    <row r="150" spans="1:42" hidden="1" x14ac:dyDescent="0.25">
      <c r="O150" s="453" t="s">
        <v>291</v>
      </c>
      <c r="P150" s="454"/>
      <c r="Q150" s="454"/>
      <c r="R150" s="454"/>
      <c r="S150" s="454"/>
      <c r="T150" s="454"/>
      <c r="U150" s="464"/>
      <c r="V150" s="465" t="s">
        <v>63</v>
      </c>
      <c r="W150" s="466"/>
      <c r="X150" s="466"/>
      <c r="Y150" s="466"/>
      <c r="Z150" s="467"/>
      <c r="AA150" s="73"/>
      <c r="AB150" s="182" t="s">
        <v>295</v>
      </c>
      <c r="AC150" s="183"/>
      <c r="AD150" s="28" t="s">
        <v>296</v>
      </c>
      <c r="AE150" s="28"/>
      <c r="AF150" s="28"/>
      <c r="AG150" s="183"/>
      <c r="AH150" s="182" t="s">
        <v>297</v>
      </c>
      <c r="AI150" s="28"/>
      <c r="AJ150" s="28"/>
      <c r="AK150" s="28"/>
      <c r="AL150" s="28"/>
      <c r="AM150" s="28"/>
      <c r="AN150" s="28"/>
      <c r="AO150" s="28"/>
      <c r="AP150" s="183"/>
    </row>
    <row r="151" spans="1:42" ht="30" hidden="1" customHeight="1" x14ac:dyDescent="0.25">
      <c r="O151" s="453" t="s">
        <v>69</v>
      </c>
      <c r="P151" s="454"/>
      <c r="Q151" s="454"/>
      <c r="R151" s="454"/>
      <c r="S151" s="454"/>
      <c r="T151" s="454"/>
      <c r="U151" s="464"/>
      <c r="V151" s="465" t="s">
        <v>64</v>
      </c>
      <c r="W151" s="466"/>
      <c r="X151" s="466"/>
      <c r="Y151" s="466"/>
      <c r="Z151" s="467"/>
      <c r="AA151" s="73"/>
      <c r="AB151" s="142" t="s">
        <v>299</v>
      </c>
      <c r="AC151" s="169"/>
      <c r="AD151" s="144" t="s">
        <v>294</v>
      </c>
      <c r="AE151" s="167"/>
      <c r="AF151" s="167"/>
      <c r="AG151" s="169"/>
      <c r="AH151" s="168"/>
      <c r="AI151" s="167"/>
      <c r="AJ151" s="167"/>
      <c r="AK151" s="167"/>
      <c r="AL151" s="167"/>
      <c r="AM151" s="167"/>
      <c r="AN151" s="167"/>
      <c r="AO151" s="167"/>
      <c r="AP151" s="169"/>
    </row>
    <row r="152" spans="1:42" ht="30" hidden="1" customHeight="1" thickBot="1" x14ac:dyDescent="0.3">
      <c r="O152" s="458" t="s">
        <v>93</v>
      </c>
      <c r="P152" s="459"/>
      <c r="Q152" s="459"/>
      <c r="R152" s="459"/>
      <c r="S152" s="459"/>
      <c r="T152" s="459"/>
      <c r="U152" s="460"/>
      <c r="V152" s="461" t="s">
        <v>90</v>
      </c>
      <c r="W152" s="462"/>
      <c r="X152" s="462"/>
      <c r="Y152" s="462"/>
      <c r="Z152" s="463"/>
      <c r="AA152" s="179"/>
      <c r="AB152" s="142" t="s">
        <v>311</v>
      </c>
      <c r="AC152" s="169"/>
      <c r="AD152" s="144" t="s">
        <v>294</v>
      </c>
      <c r="AE152" s="167"/>
      <c r="AF152" s="167"/>
      <c r="AG152" s="169"/>
      <c r="AH152" s="168"/>
      <c r="AI152" s="167"/>
      <c r="AJ152" s="167"/>
      <c r="AK152" s="167"/>
      <c r="AL152" s="167"/>
      <c r="AM152" s="167"/>
      <c r="AN152" s="167"/>
      <c r="AO152" s="167"/>
      <c r="AP152" s="169"/>
    </row>
    <row r="153" spans="1:42" ht="29.25" hidden="1" customHeight="1" x14ac:dyDescent="0.25">
      <c r="AB153" s="142" t="s">
        <v>312</v>
      </c>
      <c r="AC153" s="169"/>
      <c r="AD153" s="144" t="s">
        <v>298</v>
      </c>
      <c r="AE153" s="167"/>
      <c r="AF153" s="167"/>
      <c r="AG153" s="169"/>
      <c r="AH153" s="143" t="s">
        <v>103</v>
      </c>
      <c r="AI153" s="167"/>
      <c r="AJ153" s="167"/>
      <c r="AK153" s="167"/>
      <c r="AL153" s="167"/>
      <c r="AM153" s="167"/>
      <c r="AN153" s="167"/>
      <c r="AO153" s="167"/>
      <c r="AP153" s="169"/>
    </row>
    <row r="154" spans="1:42" ht="30" hidden="1" customHeight="1" thickBot="1" x14ac:dyDescent="0.3">
      <c r="AB154" s="142" t="s">
        <v>98</v>
      </c>
      <c r="AC154" s="169"/>
      <c r="AD154" s="144" t="s">
        <v>294</v>
      </c>
      <c r="AE154" s="167"/>
      <c r="AF154" s="167"/>
      <c r="AG154" s="169"/>
      <c r="AH154" s="168"/>
      <c r="AI154" s="167"/>
      <c r="AJ154" s="167"/>
      <c r="AK154" s="167"/>
      <c r="AL154" s="167"/>
      <c r="AM154" s="167"/>
      <c r="AN154" s="167"/>
      <c r="AO154" s="167"/>
      <c r="AP154" s="169"/>
    </row>
    <row r="155" spans="1:42" s="192" customFormat="1" ht="15.75" hidden="1" thickBot="1" x14ac:dyDescent="0.3">
      <c r="A155" s="191"/>
      <c r="AA155" s="194" t="s">
        <v>310</v>
      </c>
      <c r="AB155" s="191"/>
      <c r="AC155" s="193"/>
      <c r="AG155" s="193"/>
      <c r="AH155" s="191"/>
      <c r="AP155" s="193"/>
    </row>
    <row r="156" spans="1:42" hidden="1" x14ac:dyDescent="0.25">
      <c r="O156" s="453" t="s">
        <v>301</v>
      </c>
      <c r="P156" s="454"/>
      <c r="Q156" s="454"/>
      <c r="R156" s="454"/>
      <c r="S156" s="454"/>
      <c r="T156" s="454"/>
      <c r="U156" s="464"/>
      <c r="V156" s="465" t="s">
        <v>63</v>
      </c>
      <c r="W156" s="466"/>
      <c r="X156" s="466"/>
      <c r="Y156" s="466"/>
      <c r="Z156" s="467"/>
      <c r="AA156" s="73" t="s">
        <v>63</v>
      </c>
      <c r="AB156" s="187" t="s">
        <v>303</v>
      </c>
      <c r="AC156" s="188"/>
      <c r="AD156" s="189" t="s">
        <v>304</v>
      </c>
      <c r="AE156" s="190"/>
      <c r="AF156" s="190"/>
      <c r="AG156" s="188"/>
      <c r="AH156" s="189" t="s">
        <v>305</v>
      </c>
      <c r="AI156" s="190"/>
      <c r="AJ156" s="190"/>
      <c r="AK156" s="190"/>
      <c r="AL156" s="190"/>
      <c r="AM156" s="190"/>
      <c r="AN156" s="190"/>
      <c r="AO156" s="190"/>
      <c r="AP156" s="188"/>
    </row>
    <row r="157" spans="1:42" ht="30.75" hidden="1" customHeight="1" x14ac:dyDescent="0.25">
      <c r="O157" s="453" t="s">
        <v>69</v>
      </c>
      <c r="P157" s="454"/>
      <c r="Q157" s="454"/>
      <c r="R157" s="454"/>
      <c r="S157" s="454"/>
      <c r="T157" s="454"/>
      <c r="U157" s="464"/>
      <c r="V157" s="465" t="s">
        <v>64</v>
      </c>
      <c r="W157" s="466"/>
      <c r="X157" s="466"/>
      <c r="Y157" s="466"/>
      <c r="Z157" s="467"/>
      <c r="AA157" s="73" t="s">
        <v>64</v>
      </c>
      <c r="AB157" s="142" t="s">
        <v>306</v>
      </c>
      <c r="AC157" s="169"/>
      <c r="AD157" s="142" t="s">
        <v>307</v>
      </c>
      <c r="AE157" s="167"/>
      <c r="AF157" s="167"/>
      <c r="AG157" s="169"/>
      <c r="AH157" s="142" t="s">
        <v>4</v>
      </c>
      <c r="AI157" s="167"/>
      <c r="AJ157" s="167"/>
      <c r="AK157" s="167"/>
      <c r="AL157" s="167"/>
      <c r="AM157" s="167"/>
      <c r="AN157" s="167"/>
      <c r="AO157" s="167"/>
      <c r="AP157" s="169"/>
    </row>
    <row r="158" spans="1:42" ht="30" hidden="1" customHeight="1" thickBot="1" x14ac:dyDescent="0.3">
      <c r="O158" s="458" t="s">
        <v>93</v>
      </c>
      <c r="P158" s="459"/>
      <c r="Q158" s="459"/>
      <c r="R158" s="459"/>
      <c r="S158" s="459"/>
      <c r="T158" s="459"/>
      <c r="U158" s="460"/>
      <c r="V158" s="461" t="s">
        <v>90</v>
      </c>
      <c r="W158" s="462"/>
      <c r="X158" s="462"/>
      <c r="Y158" s="462"/>
      <c r="Z158" s="463"/>
      <c r="AA158" s="179" t="s">
        <v>89</v>
      </c>
      <c r="AB158" s="142" t="s">
        <v>97</v>
      </c>
      <c r="AC158" s="169"/>
      <c r="AD158" s="142" t="s">
        <v>308</v>
      </c>
      <c r="AE158" s="167"/>
      <c r="AF158" s="167"/>
      <c r="AG158" s="169"/>
      <c r="AH158" s="142" t="s">
        <v>103</v>
      </c>
      <c r="AI158" s="167"/>
      <c r="AJ158" s="167"/>
      <c r="AK158" s="167"/>
      <c r="AL158" s="167"/>
      <c r="AM158" s="167"/>
      <c r="AN158" s="167"/>
      <c r="AO158" s="167"/>
      <c r="AP158" s="169"/>
    </row>
    <row r="159" spans="1:42" ht="15.75" hidden="1" thickBot="1" x14ac:dyDescent="0.3">
      <c r="AB159" s="142" t="s">
        <v>98</v>
      </c>
      <c r="AC159" s="169"/>
      <c r="AD159" s="142" t="s">
        <v>101</v>
      </c>
      <c r="AE159" s="167"/>
      <c r="AF159" s="167"/>
      <c r="AG159" s="169"/>
      <c r="AH159" s="63" t="s">
        <v>4</v>
      </c>
      <c r="AI159" s="59"/>
      <c r="AJ159" s="59"/>
      <c r="AK159" s="59"/>
      <c r="AL159" s="59"/>
      <c r="AM159" s="59"/>
      <c r="AN159" s="59"/>
      <c r="AO159" s="59"/>
      <c r="AP159" s="69"/>
    </row>
    <row r="160" spans="1:42" s="192" customFormat="1" ht="15.75" hidden="1" customHeight="1" thickBot="1" x14ac:dyDescent="0.3">
      <c r="A160" s="191"/>
      <c r="AA160" s="194" t="s">
        <v>310</v>
      </c>
      <c r="AB160" s="191"/>
      <c r="AC160" s="193"/>
      <c r="AD160" s="191"/>
      <c r="AG160" s="193"/>
      <c r="AH160" s="191"/>
      <c r="AP160" s="193"/>
    </row>
    <row r="161" spans="1:42" ht="15.75" hidden="1" customHeight="1" x14ac:dyDescent="0.25">
      <c r="O161" s="453" t="s">
        <v>309</v>
      </c>
      <c r="P161" s="454"/>
      <c r="Q161" s="454"/>
      <c r="R161" s="454"/>
      <c r="S161" s="454"/>
      <c r="T161" s="454"/>
      <c r="U161" s="464"/>
      <c r="V161" s="465" t="s">
        <v>63</v>
      </c>
      <c r="W161" s="466"/>
      <c r="X161" s="466"/>
      <c r="Y161" s="466"/>
      <c r="Z161" s="467"/>
      <c r="AA161" s="73" t="s">
        <v>63</v>
      </c>
      <c r="AB161" s="68" t="s">
        <v>303</v>
      </c>
      <c r="AC161" s="69"/>
      <c r="AD161" s="77" t="s">
        <v>304</v>
      </c>
      <c r="AG161" s="22"/>
      <c r="AH161" s="68" t="s">
        <v>313</v>
      </c>
      <c r="AI161" s="59"/>
      <c r="AJ161" s="59"/>
      <c r="AK161" s="59"/>
      <c r="AL161" s="59"/>
      <c r="AM161" s="59"/>
      <c r="AN161" s="59"/>
      <c r="AO161" s="59"/>
      <c r="AP161" s="69"/>
    </row>
    <row r="162" spans="1:42" ht="32.25" hidden="1" customHeight="1" x14ac:dyDescent="0.25">
      <c r="O162" s="453" t="s">
        <v>69</v>
      </c>
      <c r="P162" s="454"/>
      <c r="Q162" s="454"/>
      <c r="R162" s="454"/>
      <c r="S162" s="454"/>
      <c r="T162" s="454"/>
      <c r="U162" s="464"/>
      <c r="V162" s="465" t="s">
        <v>64</v>
      </c>
      <c r="W162" s="466"/>
      <c r="X162" s="466"/>
      <c r="Y162" s="466"/>
      <c r="Z162" s="467"/>
      <c r="AA162" s="73" t="s">
        <v>64</v>
      </c>
      <c r="AB162" s="142" t="s">
        <v>315</v>
      </c>
      <c r="AC162" s="169"/>
      <c r="AD162" s="142" t="s">
        <v>314</v>
      </c>
      <c r="AE162" s="167"/>
      <c r="AF162" s="167"/>
      <c r="AG162" s="169"/>
      <c r="AH162" s="143" t="s">
        <v>4</v>
      </c>
      <c r="AI162" s="167"/>
      <c r="AJ162" s="167"/>
      <c r="AK162" s="167"/>
      <c r="AL162" s="167"/>
      <c r="AM162" s="167"/>
      <c r="AN162" s="167"/>
      <c r="AO162" s="167"/>
      <c r="AP162" s="169"/>
    </row>
    <row r="163" spans="1:42" ht="34.5" hidden="1" customHeight="1" thickBot="1" x14ac:dyDescent="0.3">
      <c r="O163" s="458" t="s">
        <v>93</v>
      </c>
      <c r="P163" s="459"/>
      <c r="Q163" s="459"/>
      <c r="R163" s="459"/>
      <c r="S163" s="459"/>
      <c r="T163" s="459"/>
      <c r="U163" s="460"/>
      <c r="V163" s="461" t="s">
        <v>90</v>
      </c>
      <c r="W163" s="462"/>
      <c r="X163" s="462"/>
      <c r="Y163" s="462"/>
      <c r="Z163" s="463"/>
      <c r="AA163" s="179" t="s">
        <v>89</v>
      </c>
      <c r="AB163" s="142" t="s">
        <v>316</v>
      </c>
      <c r="AC163" s="169"/>
      <c r="AD163" s="142" t="s">
        <v>317</v>
      </c>
      <c r="AE163" s="167"/>
      <c r="AF163" s="167"/>
      <c r="AG163" s="169"/>
      <c r="AH163" s="143" t="s">
        <v>103</v>
      </c>
      <c r="AI163" s="167"/>
      <c r="AJ163" s="167"/>
      <c r="AK163" s="167"/>
      <c r="AL163" s="167"/>
      <c r="AM163" s="167"/>
      <c r="AN163" s="167"/>
      <c r="AO163" s="167"/>
      <c r="AP163" s="169"/>
    </row>
    <row r="164" spans="1:42" ht="16.5" hidden="1" customHeight="1" x14ac:dyDescent="0.25">
      <c r="AB164" s="74" t="s">
        <v>99</v>
      </c>
      <c r="AC164" s="75"/>
      <c r="AD164" s="186"/>
      <c r="AE164" s="58"/>
      <c r="AF164" s="58"/>
      <c r="AG164" s="75"/>
      <c r="AH164" s="74"/>
      <c r="AI164" s="58"/>
      <c r="AJ164" s="58"/>
      <c r="AK164" s="58"/>
      <c r="AL164" s="58"/>
      <c r="AM164" s="58"/>
      <c r="AN164" s="58"/>
      <c r="AO164" s="58"/>
      <c r="AP164" s="75"/>
    </row>
    <row r="165" spans="1:42" ht="16.5" hidden="1" customHeight="1" x14ac:dyDescent="0.25">
      <c r="AB165" s="21" t="s">
        <v>333</v>
      </c>
      <c r="AC165" s="22"/>
      <c r="AD165" s="77"/>
      <c r="AG165" s="22"/>
      <c r="AH165" s="77"/>
      <c r="AP165" s="22"/>
    </row>
    <row r="166" spans="1:42" ht="16.5" hidden="1" customHeight="1" x14ac:dyDescent="0.25">
      <c r="AB166" s="74" t="s">
        <v>94</v>
      </c>
      <c r="AC166" s="75"/>
      <c r="AD166" s="74"/>
      <c r="AE166" s="58"/>
      <c r="AF166" s="58"/>
      <c r="AG166" s="75"/>
      <c r="AH166" s="195"/>
      <c r="AI166" s="148"/>
      <c r="AJ166" s="148"/>
      <c r="AK166" s="148"/>
      <c r="AL166" s="148"/>
      <c r="AM166" s="148"/>
      <c r="AN166" s="148"/>
      <c r="AO166" s="148"/>
      <c r="AP166" s="196"/>
    </row>
    <row r="167" spans="1:42" ht="16.5" hidden="1" customHeight="1" thickBot="1" x14ac:dyDescent="0.3">
      <c r="AB167" s="21" t="s">
        <v>125</v>
      </c>
      <c r="AC167" s="22"/>
      <c r="AD167" s="21" t="s">
        <v>86</v>
      </c>
      <c r="AG167" s="22"/>
      <c r="AP167" s="22"/>
    </row>
    <row r="168" spans="1:42" s="192" customFormat="1" ht="16.5" hidden="1" customHeight="1" thickBot="1" x14ac:dyDescent="0.3">
      <c r="A168" s="191"/>
      <c r="AA168" s="194" t="s">
        <v>310</v>
      </c>
      <c r="AD168" s="198"/>
    </row>
    <row r="169" spans="1:42" ht="16.5" hidden="1" customHeight="1" x14ac:dyDescent="0.25">
      <c r="O169" s="453" t="s">
        <v>318</v>
      </c>
      <c r="P169" s="454"/>
      <c r="Q169" s="454"/>
      <c r="R169" s="454"/>
      <c r="S169" s="454"/>
      <c r="T169" s="454"/>
      <c r="U169" s="464"/>
      <c r="V169" s="465" t="s">
        <v>63</v>
      </c>
      <c r="W169" s="466"/>
      <c r="X169" s="466"/>
      <c r="Y169" s="466"/>
      <c r="Z169" s="467"/>
      <c r="AA169" s="73"/>
      <c r="AB169" s="184" t="s">
        <v>292</v>
      </c>
      <c r="AC169" s="27"/>
      <c r="AD169" s="184" t="s">
        <v>293</v>
      </c>
      <c r="AE169" s="27"/>
      <c r="AF169" s="27"/>
      <c r="AG169" s="185"/>
      <c r="AH169" s="184" t="s">
        <v>297</v>
      </c>
      <c r="AI169" s="27"/>
      <c r="AJ169" s="27"/>
      <c r="AK169" s="27"/>
      <c r="AL169" s="27"/>
      <c r="AM169" s="27"/>
      <c r="AN169" s="27"/>
      <c r="AO169" s="27"/>
      <c r="AP169" s="185"/>
    </row>
    <row r="170" spans="1:42" ht="34.5" hidden="1" customHeight="1" x14ac:dyDescent="0.25">
      <c r="O170" s="453" t="s">
        <v>69</v>
      </c>
      <c r="P170" s="454"/>
      <c r="Q170" s="454"/>
      <c r="R170" s="454"/>
      <c r="S170" s="454"/>
      <c r="T170" s="454"/>
      <c r="U170" s="464"/>
      <c r="V170" s="465" t="s">
        <v>64</v>
      </c>
      <c r="W170" s="466"/>
      <c r="X170" s="466"/>
      <c r="Y170" s="466"/>
      <c r="Z170" s="467"/>
      <c r="AA170" s="73"/>
      <c r="AB170" s="142" t="s">
        <v>299</v>
      </c>
      <c r="AC170" s="167"/>
      <c r="AD170" s="142" t="s">
        <v>319</v>
      </c>
      <c r="AE170" s="167"/>
      <c r="AF170" s="167"/>
      <c r="AG170" s="169"/>
      <c r="AH170" s="168"/>
      <c r="AI170" s="167"/>
      <c r="AJ170" s="167"/>
      <c r="AK170" s="167"/>
      <c r="AL170" s="167"/>
      <c r="AM170" s="167"/>
      <c r="AN170" s="167"/>
      <c r="AO170" s="167"/>
      <c r="AP170" s="169"/>
    </row>
    <row r="171" spans="1:42" ht="32.25" hidden="1" customHeight="1" thickBot="1" x14ac:dyDescent="0.3">
      <c r="O171" s="458" t="s">
        <v>93</v>
      </c>
      <c r="P171" s="459"/>
      <c r="Q171" s="459"/>
      <c r="R171" s="459"/>
      <c r="S171" s="459"/>
      <c r="T171" s="459"/>
      <c r="U171" s="460"/>
      <c r="V171" s="461" t="s">
        <v>90</v>
      </c>
      <c r="W171" s="462"/>
      <c r="X171" s="462"/>
      <c r="Y171" s="462"/>
      <c r="Z171" s="463"/>
      <c r="AA171" s="179"/>
      <c r="AB171" s="142" t="s">
        <v>311</v>
      </c>
      <c r="AC171" s="167"/>
      <c r="AD171" s="142" t="s">
        <v>319</v>
      </c>
      <c r="AE171" s="167"/>
      <c r="AF171" s="167"/>
      <c r="AG171" s="169"/>
      <c r="AH171" s="168"/>
      <c r="AI171" s="167"/>
      <c r="AJ171" s="167"/>
      <c r="AK171" s="167"/>
      <c r="AL171" s="167"/>
      <c r="AM171" s="167"/>
      <c r="AN171" s="167"/>
      <c r="AO171" s="167"/>
      <c r="AP171" s="169"/>
    </row>
    <row r="172" spans="1:42" ht="33" hidden="1" customHeight="1" x14ac:dyDescent="0.25">
      <c r="AB172" s="142" t="s">
        <v>312</v>
      </c>
      <c r="AC172" s="167"/>
      <c r="AD172" s="142" t="s">
        <v>320</v>
      </c>
      <c r="AE172" s="167"/>
      <c r="AF172" s="167"/>
      <c r="AG172" s="169"/>
      <c r="AH172" s="143" t="s">
        <v>103</v>
      </c>
      <c r="AI172" s="167"/>
      <c r="AJ172" s="167"/>
      <c r="AK172" s="167"/>
      <c r="AL172" s="167"/>
      <c r="AM172" s="167"/>
      <c r="AN172" s="167"/>
      <c r="AO172" s="167"/>
      <c r="AP172" s="169"/>
    </row>
    <row r="173" spans="1:42" ht="33" hidden="1" customHeight="1" thickBot="1" x14ac:dyDescent="0.3">
      <c r="AB173" s="142" t="s">
        <v>98</v>
      </c>
      <c r="AC173" s="167"/>
      <c r="AD173" s="142" t="s">
        <v>319</v>
      </c>
      <c r="AE173" s="167"/>
      <c r="AF173" s="167"/>
      <c r="AG173" s="169"/>
      <c r="AH173" s="168"/>
      <c r="AI173" s="167"/>
      <c r="AJ173" s="167"/>
      <c r="AK173" s="167"/>
      <c r="AL173" s="167"/>
      <c r="AM173" s="167"/>
      <c r="AN173" s="167"/>
      <c r="AO173" s="167"/>
      <c r="AP173" s="169"/>
    </row>
    <row r="174" spans="1:42" s="192" customFormat="1" ht="15.75" hidden="1" customHeight="1" thickBot="1" x14ac:dyDescent="0.3">
      <c r="A174" s="191"/>
      <c r="AA174" s="194" t="s">
        <v>310</v>
      </c>
      <c r="AD174" s="198"/>
    </row>
    <row r="175" spans="1:42" ht="15.75" hidden="1" customHeight="1" x14ac:dyDescent="0.25">
      <c r="O175" s="453" t="s">
        <v>321</v>
      </c>
      <c r="P175" s="454"/>
      <c r="Q175" s="454"/>
      <c r="R175" s="454"/>
      <c r="S175" s="454"/>
      <c r="T175" s="454"/>
      <c r="U175" s="464"/>
      <c r="V175" s="465" t="s">
        <v>63</v>
      </c>
      <c r="W175" s="466"/>
      <c r="X175" s="466"/>
      <c r="Y175" s="466"/>
      <c r="Z175" s="467"/>
      <c r="AA175" s="73" t="s">
        <v>63</v>
      </c>
      <c r="AB175" s="199" t="s">
        <v>303</v>
      </c>
      <c r="AC175" s="200"/>
      <c r="AD175" s="201" t="s">
        <v>304</v>
      </c>
      <c r="AE175" s="19"/>
      <c r="AF175" s="19"/>
      <c r="AG175" s="20"/>
      <c r="AH175" s="199" t="s">
        <v>322</v>
      </c>
      <c r="AI175" s="202"/>
      <c r="AJ175" s="202"/>
      <c r="AK175" s="202"/>
      <c r="AL175" s="202"/>
      <c r="AM175" s="202"/>
      <c r="AN175" s="202"/>
      <c r="AO175" s="202"/>
      <c r="AP175" s="200"/>
    </row>
    <row r="176" spans="1:42" ht="15.75" hidden="1" customHeight="1" x14ac:dyDescent="0.25">
      <c r="O176" s="453" t="s">
        <v>69</v>
      </c>
      <c r="P176" s="454"/>
      <c r="Q176" s="454"/>
      <c r="R176" s="454"/>
      <c r="S176" s="454"/>
      <c r="T176" s="454"/>
      <c r="U176" s="464"/>
      <c r="V176" s="465" t="s">
        <v>64</v>
      </c>
      <c r="W176" s="466"/>
      <c r="X176" s="466"/>
      <c r="Y176" s="466"/>
      <c r="Z176" s="467"/>
      <c r="AA176" s="73" t="s">
        <v>64</v>
      </c>
      <c r="AB176" s="142" t="s">
        <v>323</v>
      </c>
      <c r="AC176" s="169"/>
      <c r="AD176" s="197" t="s">
        <v>325</v>
      </c>
      <c r="AE176" s="167"/>
      <c r="AF176" s="167"/>
      <c r="AG176" s="169"/>
      <c r="AH176" s="168" t="s">
        <v>4</v>
      </c>
      <c r="AI176" s="167"/>
      <c r="AJ176" s="167"/>
      <c r="AK176" s="167"/>
      <c r="AL176" s="167"/>
      <c r="AM176" s="167"/>
      <c r="AN176" s="167"/>
      <c r="AO176" s="167"/>
      <c r="AP176" s="169"/>
    </row>
    <row r="177" spans="1:42" ht="15.75" hidden="1" customHeight="1" thickBot="1" x14ac:dyDescent="0.3">
      <c r="O177" s="458" t="s">
        <v>93</v>
      </c>
      <c r="P177" s="459"/>
      <c r="Q177" s="459"/>
      <c r="R177" s="459"/>
      <c r="S177" s="459"/>
      <c r="T177" s="459"/>
      <c r="U177" s="460"/>
      <c r="V177" s="461" t="s">
        <v>90</v>
      </c>
      <c r="W177" s="462"/>
      <c r="X177" s="462"/>
      <c r="Y177" s="462"/>
      <c r="Z177" s="463"/>
      <c r="AA177" s="179" t="s">
        <v>89</v>
      </c>
      <c r="AB177" s="142" t="s">
        <v>324</v>
      </c>
      <c r="AC177" s="169"/>
      <c r="AD177" s="142" t="s">
        <v>326</v>
      </c>
      <c r="AE177" s="167"/>
      <c r="AF177" s="167"/>
      <c r="AG177" s="169"/>
      <c r="AH177" s="168" t="s">
        <v>103</v>
      </c>
      <c r="AI177" s="167"/>
      <c r="AJ177" s="167"/>
      <c r="AK177" s="167"/>
      <c r="AL177" s="167"/>
      <c r="AM177" s="167"/>
      <c r="AN177" s="167"/>
      <c r="AO177" s="167"/>
      <c r="AP177" s="169"/>
    </row>
    <row r="178" spans="1:42" ht="15.75" hidden="1" customHeight="1" x14ac:dyDescent="0.25">
      <c r="AB178" s="74" t="s">
        <v>99</v>
      </c>
      <c r="AC178" s="75"/>
      <c r="AD178" s="186"/>
      <c r="AE178" s="58"/>
      <c r="AF178" s="58"/>
      <c r="AG178" s="75"/>
      <c r="AH178" s="74"/>
      <c r="AI178" s="58"/>
      <c r="AJ178" s="58"/>
      <c r="AK178" s="58"/>
      <c r="AL178" s="58"/>
      <c r="AM178" s="58"/>
      <c r="AN178" s="58"/>
      <c r="AO178" s="58"/>
      <c r="AP178" s="75"/>
    </row>
    <row r="179" spans="1:42" ht="15.75" hidden="1" customHeight="1" x14ac:dyDescent="0.25">
      <c r="AB179" s="21" t="s">
        <v>327</v>
      </c>
      <c r="AC179" s="22"/>
      <c r="AD179" s="77"/>
      <c r="AG179" s="22"/>
      <c r="AH179" s="77"/>
      <c r="AP179" s="22"/>
    </row>
    <row r="180" spans="1:42" ht="15.75" hidden="1" customHeight="1" x14ac:dyDescent="0.25">
      <c r="AB180" s="74" t="s">
        <v>94</v>
      </c>
      <c r="AC180" s="75"/>
      <c r="AD180" s="74"/>
      <c r="AE180" s="58"/>
      <c r="AF180" s="58"/>
      <c r="AG180" s="75"/>
      <c r="AH180" s="195"/>
      <c r="AI180" s="148"/>
      <c r="AJ180" s="148"/>
      <c r="AK180" s="148"/>
      <c r="AL180" s="148"/>
      <c r="AM180" s="148"/>
      <c r="AN180" s="148"/>
      <c r="AO180" s="148"/>
      <c r="AP180" s="196"/>
    </row>
    <row r="181" spans="1:42" ht="15.75" hidden="1" customHeight="1" thickBot="1" x14ac:dyDescent="0.3">
      <c r="AB181" s="24" t="s">
        <v>125</v>
      </c>
      <c r="AC181" s="26"/>
      <c r="AD181" s="24" t="s">
        <v>86</v>
      </c>
      <c r="AE181" s="25"/>
      <c r="AF181" s="25"/>
      <c r="AG181" s="26"/>
      <c r="AH181" s="24"/>
      <c r="AI181" s="25"/>
      <c r="AJ181" s="25"/>
      <c r="AK181" s="25"/>
      <c r="AL181" s="25"/>
      <c r="AM181" s="25"/>
      <c r="AN181" s="25"/>
      <c r="AO181" s="25"/>
      <c r="AP181" s="26"/>
    </row>
    <row r="182" spans="1:42" ht="18.75" hidden="1" x14ac:dyDescent="0.3">
      <c r="A182" s="51" t="s">
        <v>85</v>
      </c>
      <c r="B182" s="27"/>
      <c r="C182" s="27"/>
      <c r="D182" s="27"/>
      <c r="E182" s="27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</row>
    <row r="183" spans="1:42" x14ac:dyDescent="0.25">
      <c r="A183" s="21"/>
    </row>
    <row r="184" spans="1:42" x14ac:dyDescent="0.25">
      <c r="A184" s="21"/>
    </row>
  </sheetData>
  <mergeCells count="157">
    <mergeCell ref="AI48:AL48"/>
    <mergeCell ref="AM48:AN48"/>
    <mergeCell ref="AO48:AP48"/>
    <mergeCell ref="AD48:AG49"/>
    <mergeCell ref="AI49:AL49"/>
    <mergeCell ref="AM49:AN49"/>
    <mergeCell ref="AO49:AP49"/>
    <mergeCell ref="V138:Z138"/>
    <mergeCell ref="O135:U135"/>
    <mergeCell ref="O136:U136"/>
    <mergeCell ref="H68:N68"/>
    <mergeCell ref="H73:N74"/>
    <mergeCell ref="H63:N65"/>
    <mergeCell ref="O63:U65"/>
    <mergeCell ref="G66:AP66"/>
    <mergeCell ref="O103:U103"/>
    <mergeCell ref="O101:AP101"/>
    <mergeCell ref="AB102:AC103"/>
    <mergeCell ref="AB104:AC104"/>
    <mergeCell ref="AH84:AL84"/>
    <mergeCell ref="AH85:AP85"/>
    <mergeCell ref="AH86:AP86"/>
    <mergeCell ref="AH87:AP87"/>
    <mergeCell ref="AB82:AC83"/>
    <mergeCell ref="AH91:AP91"/>
    <mergeCell ref="AH94:AK94"/>
    <mergeCell ref="AP92:AP93"/>
    <mergeCell ref="AS72:AS80"/>
    <mergeCell ref="AB67:AC67"/>
    <mergeCell ref="V53:Z53"/>
    <mergeCell ref="V82:Z82"/>
    <mergeCell ref="O72:U72"/>
    <mergeCell ref="V55:Z55"/>
    <mergeCell ref="V56:Z56"/>
    <mergeCell ref="V58:Z58"/>
    <mergeCell ref="V59:Z59"/>
    <mergeCell ref="V60:Z60"/>
    <mergeCell ref="V61:Z61"/>
    <mergeCell ref="AB70:AC71"/>
    <mergeCell ref="AH67:AP68"/>
    <mergeCell ref="AD67:AG68"/>
    <mergeCell ref="V72:Z72"/>
    <mergeCell ref="F62:AP62"/>
    <mergeCell ref="V104:Z104"/>
    <mergeCell ref="V115:Z115"/>
    <mergeCell ref="AH73:AK73"/>
    <mergeCell ref="AN73:AO73"/>
    <mergeCell ref="AN74:AO74"/>
    <mergeCell ref="AH74:AK74"/>
    <mergeCell ref="AB89:AC90"/>
    <mergeCell ref="V89:Z89"/>
    <mergeCell ref="V91:Z91"/>
    <mergeCell ref="AL97:AN97"/>
    <mergeCell ref="AL98:AN98"/>
    <mergeCell ref="AH92:AL92"/>
    <mergeCell ref="AM92:AO92"/>
    <mergeCell ref="AH93:AL93"/>
    <mergeCell ref="AM93:AO93"/>
    <mergeCell ref="AH104:AP104"/>
    <mergeCell ref="AH105:AN105"/>
    <mergeCell ref="AH106:AJ106"/>
    <mergeCell ref="AK106:AM106"/>
    <mergeCell ref="H67:N67"/>
    <mergeCell ref="H75:N75"/>
    <mergeCell ref="V70:Z70"/>
    <mergeCell ref="W71:X71"/>
    <mergeCell ref="O67:U67"/>
    <mergeCell ref="O68:U68"/>
    <mergeCell ref="O70:U71"/>
    <mergeCell ref="O84:U84"/>
    <mergeCell ref="O102:U102"/>
    <mergeCell ref="O82:U83"/>
    <mergeCell ref="O91:U91"/>
    <mergeCell ref="O89:U90"/>
    <mergeCell ref="V84:Z84"/>
    <mergeCell ref="V102:Z102"/>
    <mergeCell ref="AH142:AP142"/>
    <mergeCell ref="AD142:AG142"/>
    <mergeCell ref="V144:Z144"/>
    <mergeCell ref="V145:Z145"/>
    <mergeCell ref="O145:U145"/>
    <mergeCell ref="AD138:AG138"/>
    <mergeCell ref="AH138:AP138"/>
    <mergeCell ref="AH119:AP119"/>
    <mergeCell ref="AH120:AP120"/>
    <mergeCell ref="O122:U123"/>
    <mergeCell ref="AB122:AC123"/>
    <mergeCell ref="AB124:AC124"/>
    <mergeCell ref="AH124:AP124"/>
    <mergeCell ref="AM125:AO125"/>
    <mergeCell ref="AP125:AP126"/>
    <mergeCell ref="AM126:AO126"/>
    <mergeCell ref="AH127:AJ127"/>
    <mergeCell ref="AN127:AO127"/>
    <mergeCell ref="V122:Z122"/>
    <mergeCell ref="V124:Z124"/>
    <mergeCell ref="V135:Z135"/>
    <mergeCell ref="V136:Z136"/>
    <mergeCell ref="V137:Z137"/>
    <mergeCell ref="AD1:AG1"/>
    <mergeCell ref="AH1:AP1"/>
    <mergeCell ref="AB47:AC47"/>
    <mergeCell ref="AD47:AG47"/>
    <mergeCell ref="AH47:AP47"/>
    <mergeCell ref="O161:U161"/>
    <mergeCell ref="V161:Z161"/>
    <mergeCell ref="O162:U162"/>
    <mergeCell ref="V162:Z162"/>
    <mergeCell ref="AB1:AC1"/>
    <mergeCell ref="V48:Z48"/>
    <mergeCell ref="V49:Z49"/>
    <mergeCell ref="O144:U144"/>
    <mergeCell ref="AB142:AC142"/>
    <mergeCell ref="V146:Z146"/>
    <mergeCell ref="O146:U146"/>
    <mergeCell ref="V52:Z52"/>
    <mergeCell ref="V51:Z51"/>
    <mergeCell ref="O124:U124"/>
    <mergeCell ref="O156:U156"/>
    <mergeCell ref="V156:Z156"/>
    <mergeCell ref="O157:U157"/>
    <mergeCell ref="O117:U117"/>
    <mergeCell ref="V157:Z157"/>
    <mergeCell ref="O158:U158"/>
    <mergeCell ref="V158:Z158"/>
    <mergeCell ref="O150:U150"/>
    <mergeCell ref="V150:Z150"/>
    <mergeCell ref="O151:U151"/>
    <mergeCell ref="V151:Z151"/>
    <mergeCell ref="O152:U152"/>
    <mergeCell ref="V152:Z152"/>
    <mergeCell ref="O177:U177"/>
    <mergeCell ref="V177:Z177"/>
    <mergeCell ref="O169:U169"/>
    <mergeCell ref="V169:Z169"/>
    <mergeCell ref="O170:U170"/>
    <mergeCell ref="V170:Z170"/>
    <mergeCell ref="O171:U171"/>
    <mergeCell ref="V171:Z171"/>
    <mergeCell ref="O163:U163"/>
    <mergeCell ref="V163:Z163"/>
    <mergeCell ref="O175:U175"/>
    <mergeCell ref="V175:Z175"/>
    <mergeCell ref="O176:U176"/>
    <mergeCell ref="V176:Z176"/>
    <mergeCell ref="AL130:AN130"/>
    <mergeCell ref="AL131:AN131"/>
    <mergeCell ref="AN106:AO106"/>
    <mergeCell ref="AH107:AJ107"/>
    <mergeCell ref="AL110:AN110"/>
    <mergeCell ref="AL111:AN111"/>
    <mergeCell ref="AB115:AC116"/>
    <mergeCell ref="O115:U116"/>
    <mergeCell ref="AB117:AC117"/>
    <mergeCell ref="AH117:AL117"/>
    <mergeCell ref="AH118:AP118"/>
    <mergeCell ref="V117:Z117"/>
  </mergeCells>
  <phoneticPr fontId="1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AE28-C337-4351-9262-450BE706BE58}">
  <dimension ref="A1:AT41"/>
  <sheetViews>
    <sheetView topLeftCell="H17" zoomScaleNormal="100" workbookViewId="0">
      <selection activeCell="AE25" sqref="AE25:AE26"/>
    </sheetView>
  </sheetViews>
  <sheetFormatPr baseColWidth="10" defaultRowHeight="15" outlineLevelCol="1" x14ac:dyDescent="0.25"/>
  <cols>
    <col min="1" max="1" width="106" customWidth="1"/>
    <col min="2" max="3" width="19.28515625" style="28" customWidth="1" outlineLevel="1"/>
    <col min="4" max="5" width="18.85546875" style="28" customWidth="1" outlineLevel="1"/>
    <col min="6" max="6" width="20.28515625" customWidth="1" outlineLevel="1"/>
    <col min="7" max="7" width="33" customWidth="1" outlineLevel="1"/>
    <col min="8" max="8" width="6" customWidth="1" outlineLevel="1"/>
    <col min="9" max="9" width="2.140625" customWidth="1" outlineLevel="1"/>
    <col min="10" max="10" width="5" customWidth="1" outlineLevel="1"/>
    <col min="11" max="11" width="2.85546875" customWidth="1" outlineLevel="1"/>
    <col min="12" max="12" width="5.7109375" customWidth="1" outlineLevel="1"/>
    <col min="13" max="13" width="2.28515625" customWidth="1" outlineLevel="1"/>
    <col min="14" max="14" width="4.28515625" customWidth="1" outlineLevel="1"/>
    <col min="15" max="15" width="4.85546875" customWidth="1" outlineLevel="1"/>
    <col min="16" max="16" width="1.85546875" customWidth="1" outlineLevel="1"/>
    <col min="17" max="17" width="6.28515625" customWidth="1" outlineLevel="1"/>
    <col min="18" max="18" width="1.7109375" customWidth="1" outlineLevel="1"/>
    <col min="19" max="19" width="6" customWidth="1" outlineLevel="1"/>
    <col min="20" max="20" width="1.7109375" customWidth="1" outlineLevel="1"/>
    <col min="21" max="21" width="6.5703125" customWidth="1" outlineLevel="1"/>
    <col min="22" max="22" width="2.42578125" customWidth="1" outlineLevel="1"/>
    <col min="23" max="23" width="6" customWidth="1" outlineLevel="1"/>
    <col min="24" max="24" width="8.140625" customWidth="1" outlineLevel="1"/>
    <col min="25" max="25" width="3" customWidth="1" outlineLevel="1"/>
    <col min="26" max="26" width="5.5703125" customWidth="1" outlineLevel="1"/>
    <col min="27" max="27" width="2.5703125" customWidth="1" outlineLevel="1"/>
    <col min="28" max="28" width="6.42578125" customWidth="1" outlineLevel="1"/>
    <col min="29" max="29" width="2.5703125" customWidth="1" outlineLevel="1"/>
    <col min="30" max="30" width="11.42578125" outlineLevel="1"/>
    <col min="31" max="31" width="39.85546875" customWidth="1" outlineLevel="1"/>
    <col min="32" max="32" width="26.7109375" customWidth="1" outlineLevel="1"/>
    <col min="33" max="33" width="14.140625" customWidth="1"/>
    <col min="34" max="34" width="2" customWidth="1"/>
    <col min="35" max="35" width="5.28515625" customWidth="1"/>
    <col min="36" max="36" width="2.7109375" customWidth="1"/>
    <col min="38" max="38" width="3.7109375" customWidth="1"/>
    <col min="39" max="39" width="12.140625" customWidth="1"/>
    <col min="40" max="40" width="5.42578125" customWidth="1"/>
    <col min="41" max="41" width="13.140625" customWidth="1"/>
    <col min="42" max="42" width="2" customWidth="1"/>
    <col min="43" max="43" width="16.85546875" customWidth="1"/>
    <col min="44" max="44" width="19.5703125" customWidth="1"/>
  </cols>
  <sheetData>
    <row r="1" spans="1:44" ht="15.75" thickBot="1" x14ac:dyDescent="0.3"/>
    <row r="2" spans="1:44" ht="15" customHeight="1" thickBot="1" x14ac:dyDescent="0.3">
      <c r="A2" s="21"/>
      <c r="B2" s="41"/>
      <c r="C2" s="44"/>
      <c r="D2" s="41"/>
      <c r="E2" s="41"/>
      <c r="F2" s="675"/>
      <c r="P2" s="642"/>
      <c r="Q2" s="642"/>
      <c r="R2" s="642"/>
      <c r="S2" s="642"/>
      <c r="T2" s="642"/>
      <c r="U2" s="642"/>
      <c r="V2" s="642"/>
      <c r="W2" s="642"/>
      <c r="X2" s="642"/>
      <c r="Y2" s="642"/>
      <c r="AE2" s="477" t="s">
        <v>0</v>
      </c>
      <c r="AF2" s="478"/>
      <c r="AG2" s="477" t="s">
        <v>1</v>
      </c>
      <c r="AH2" s="481"/>
      <c r="AI2" s="481"/>
      <c r="AJ2" s="481"/>
      <c r="AK2" s="481"/>
      <c r="AL2" s="481"/>
      <c r="AM2" s="481"/>
      <c r="AN2" s="481"/>
      <c r="AO2" s="478"/>
    </row>
    <row r="3" spans="1:44" ht="30" customHeight="1" x14ac:dyDescent="0.25">
      <c r="A3" s="21"/>
      <c r="B3" s="34" t="s">
        <v>84</v>
      </c>
      <c r="C3" s="49" t="s">
        <v>53</v>
      </c>
      <c r="D3" s="34" t="s">
        <v>52</v>
      </c>
      <c r="E3" s="50" t="s">
        <v>50</v>
      </c>
      <c r="F3" s="17"/>
      <c r="G3" s="636" t="s">
        <v>60</v>
      </c>
      <c r="H3" s="482" t="s">
        <v>267</v>
      </c>
      <c r="I3" s="483"/>
      <c r="J3" s="483"/>
      <c r="K3" s="483"/>
      <c r="L3" s="483"/>
      <c r="M3" s="483"/>
      <c r="N3" s="483"/>
      <c r="O3" s="483"/>
      <c r="P3" s="509" t="s">
        <v>61</v>
      </c>
      <c r="Q3" s="488"/>
      <c r="R3" s="488"/>
      <c r="S3" s="488"/>
      <c r="T3" s="488"/>
      <c r="U3" s="488"/>
      <c r="V3" s="488"/>
      <c r="W3" s="625"/>
      <c r="X3" s="450" t="s">
        <v>247</v>
      </c>
      <c r="Y3" s="451"/>
      <c r="Z3" s="451"/>
      <c r="AA3" s="451"/>
      <c r="AB3" s="452"/>
      <c r="AC3" s="450"/>
      <c r="AD3" s="452"/>
      <c r="AE3" s="651" t="s">
        <v>375</v>
      </c>
      <c r="AF3" s="103"/>
      <c r="AG3" s="16" t="s">
        <v>122</v>
      </c>
      <c r="AH3" s="16"/>
      <c r="AI3" s="16"/>
      <c r="AJ3" s="16"/>
      <c r="AK3" s="260" t="s">
        <v>261</v>
      </c>
      <c r="AL3" s="16"/>
      <c r="AM3" s="16">
        <v>0</v>
      </c>
      <c r="AN3" s="15" t="s">
        <v>62</v>
      </c>
      <c r="AO3" s="66"/>
    </row>
    <row r="4" spans="1:44" ht="15" customHeight="1" thickBot="1" x14ac:dyDescent="0.3">
      <c r="A4" s="21"/>
      <c r="F4" s="8"/>
      <c r="G4" s="215" t="s">
        <v>80</v>
      </c>
      <c r="H4" s="203"/>
      <c r="I4" s="639"/>
      <c r="J4" s="639"/>
      <c r="K4" s="639"/>
      <c r="L4" s="639"/>
      <c r="M4" s="639"/>
      <c r="N4" s="639"/>
      <c r="O4" s="639"/>
      <c r="P4" s="70"/>
      <c r="Q4" s="655"/>
      <c r="R4" s="655"/>
      <c r="S4" s="655"/>
      <c r="T4" s="655"/>
      <c r="U4" s="655"/>
      <c r="V4" s="655"/>
      <c r="W4" s="66"/>
      <c r="X4" s="78"/>
      <c r="Y4" s="662" t="s">
        <v>273</v>
      </c>
      <c r="Z4" s="676">
        <f>AM3</f>
        <v>0</v>
      </c>
      <c r="AA4" s="676"/>
      <c r="AB4" s="212"/>
      <c r="AC4" s="453"/>
      <c r="AD4" s="455"/>
      <c r="AE4" s="651"/>
      <c r="AF4" s="276"/>
      <c r="AG4" s="138" t="s">
        <v>272</v>
      </c>
      <c r="AH4" s="11"/>
      <c r="AI4" s="221"/>
      <c r="AJ4" s="11"/>
      <c r="AK4" s="11"/>
      <c r="AL4" s="11"/>
      <c r="AM4" s="222">
        <f>AM3-AM15</f>
        <v>0</v>
      </c>
      <c r="AN4" s="89" t="s">
        <v>62</v>
      </c>
      <c r="AO4" s="67"/>
    </row>
    <row r="5" spans="1:44" ht="19.5" customHeight="1" x14ac:dyDescent="0.25">
      <c r="A5" s="21"/>
      <c r="F5" s="8"/>
      <c r="G5" s="1"/>
      <c r="H5" s="484" t="s">
        <v>246</v>
      </c>
      <c r="I5" s="637"/>
      <c r="J5" s="637"/>
      <c r="K5" s="637"/>
      <c r="L5" s="637"/>
      <c r="M5" s="637"/>
      <c r="N5" s="637"/>
      <c r="O5" s="637"/>
      <c r="P5" s="453" t="s">
        <v>69</v>
      </c>
      <c r="Q5" s="637"/>
      <c r="R5" s="637"/>
      <c r="S5" s="637"/>
      <c r="T5" s="637"/>
      <c r="U5" s="637"/>
      <c r="V5" s="637"/>
      <c r="W5" s="455"/>
      <c r="X5" s="504" t="s">
        <v>116</v>
      </c>
      <c r="Y5" s="483"/>
      <c r="Z5" s="483"/>
      <c r="AA5" s="483"/>
      <c r="AB5" s="505"/>
      <c r="AC5" s="453"/>
      <c r="AD5" s="455"/>
      <c r="AE5" s="137" t="s">
        <v>361</v>
      </c>
      <c r="AF5" s="236"/>
      <c r="AG5" s="16" t="s">
        <v>123</v>
      </c>
      <c r="AH5" s="16"/>
      <c r="AI5" s="16"/>
      <c r="AJ5" s="16"/>
      <c r="AK5" s="16"/>
      <c r="AL5" s="16"/>
      <c r="AM5" s="16"/>
      <c r="AN5" s="16"/>
      <c r="AO5" s="66"/>
      <c r="AP5" s="58"/>
      <c r="AQ5" s="58"/>
      <c r="AR5" s="512" t="s">
        <v>331</v>
      </c>
    </row>
    <row r="6" spans="1:44" ht="19.5" customHeight="1" x14ac:dyDescent="0.25">
      <c r="A6" s="21"/>
      <c r="F6" s="8"/>
      <c r="G6" s="1"/>
      <c r="H6" s="215"/>
      <c r="I6" s="643"/>
      <c r="J6" s="643"/>
      <c r="K6" s="643"/>
      <c r="L6" s="643"/>
      <c r="M6" s="643"/>
      <c r="N6" s="643"/>
      <c r="O6" s="643"/>
      <c r="P6" s="21"/>
      <c r="Q6" s="662" t="s">
        <v>260</v>
      </c>
      <c r="R6" s="638" t="s">
        <v>257</v>
      </c>
      <c r="S6" s="639" t="s">
        <v>256</v>
      </c>
      <c r="T6" s="640" t="s">
        <v>248</v>
      </c>
      <c r="U6" s="648" t="s">
        <v>258</v>
      </c>
      <c r="V6" s="642"/>
      <c r="W6" s="22"/>
      <c r="X6" s="226" t="s">
        <v>256</v>
      </c>
      <c r="Y6" s="677" t="s">
        <v>257</v>
      </c>
      <c r="Z6" s="677" t="s">
        <v>290</v>
      </c>
      <c r="AA6" s="639" t="s">
        <v>250</v>
      </c>
      <c r="AB6" s="204" t="s">
        <v>288</v>
      </c>
      <c r="AC6" s="453"/>
      <c r="AD6" s="455"/>
      <c r="AE6" s="651" t="s">
        <v>386</v>
      </c>
      <c r="AF6" s="22"/>
      <c r="AG6" s="540" t="s">
        <v>251</v>
      </c>
      <c r="AH6" s="540"/>
      <c r="AI6" s="540"/>
      <c r="AJ6" s="540"/>
      <c r="AK6" s="227">
        <v>0.2</v>
      </c>
      <c r="AL6" s="13" t="s">
        <v>252</v>
      </c>
      <c r="AM6" s="507" t="s">
        <v>253</v>
      </c>
      <c r="AN6" s="444"/>
      <c r="AO6" s="228">
        <v>0.04</v>
      </c>
      <c r="AR6" s="513"/>
    </row>
    <row r="7" spans="1:44" ht="19.5" customHeight="1" x14ac:dyDescent="0.25">
      <c r="A7" s="21"/>
      <c r="F7" s="8"/>
      <c r="G7" s="1"/>
      <c r="H7" s="215"/>
      <c r="I7" s="643"/>
      <c r="J7" s="643"/>
      <c r="K7" s="643"/>
      <c r="L7" s="643"/>
      <c r="M7" s="643"/>
      <c r="N7" s="643"/>
      <c r="O7" s="643"/>
      <c r="P7" s="21"/>
      <c r="Q7" s="706" t="e">
        <f>#REF!*S7*U7</f>
        <v>#REF!</v>
      </c>
      <c r="R7" s="638" t="s">
        <v>257</v>
      </c>
      <c r="S7" s="667">
        <f>ROUND(X8,3)</f>
        <v>0.254</v>
      </c>
      <c r="T7" s="640" t="s">
        <v>248</v>
      </c>
      <c r="U7" s="668">
        <f>Z4</f>
        <v>0</v>
      </c>
      <c r="V7" s="642"/>
      <c r="W7" s="22"/>
      <c r="X7" s="115">
        <f>ROUND(Z7/AB7,3)</f>
        <v>0.19500000000000001</v>
      </c>
      <c r="Y7" s="638" t="s">
        <v>257</v>
      </c>
      <c r="Z7" s="678">
        <v>1</v>
      </c>
      <c r="AA7" s="639" t="s">
        <v>250</v>
      </c>
      <c r="AB7" s="277">
        <f>AG10</f>
        <v>5.14</v>
      </c>
      <c r="AC7" s="453"/>
      <c r="AD7" s="455"/>
      <c r="AE7" s="655" t="str">
        <f>'Kat. 1 U-Wert'!B6</f>
        <v>Massive Konstruktion</v>
      </c>
      <c r="AF7" s="103" t="s">
        <v>334</v>
      </c>
      <c r="AG7" s="541" t="s">
        <v>328</v>
      </c>
      <c r="AH7" s="541"/>
      <c r="AI7" s="541"/>
      <c r="AJ7" s="541"/>
      <c r="AK7" s="257">
        <v>0.2</v>
      </c>
      <c r="AL7" s="39" t="s">
        <v>252</v>
      </c>
      <c r="AM7" s="531" t="s">
        <v>254</v>
      </c>
      <c r="AN7" s="510"/>
      <c r="AO7" s="289">
        <v>0.04</v>
      </c>
      <c r="AR7" s="513"/>
    </row>
    <row r="8" spans="1:44" ht="19.5" customHeight="1" thickBot="1" x14ac:dyDescent="0.3">
      <c r="A8" s="21"/>
      <c r="F8" s="8"/>
      <c r="G8" s="1"/>
      <c r="H8" s="215"/>
      <c r="I8" s="643"/>
      <c r="J8" s="643"/>
      <c r="K8" s="643"/>
      <c r="L8" s="643"/>
      <c r="M8" s="643"/>
      <c r="N8" s="643"/>
      <c r="O8" s="643"/>
      <c r="P8" s="115"/>
      <c r="Q8" s="642"/>
      <c r="R8" s="642"/>
      <c r="S8" s="639"/>
      <c r="T8" s="639"/>
      <c r="U8" s="639"/>
      <c r="V8" s="639"/>
      <c r="W8" s="139"/>
      <c r="X8" s="684">
        <f>Z8*AB8</f>
        <v>0.2535</v>
      </c>
      <c r="Y8" s="679" t="s">
        <v>257</v>
      </c>
      <c r="Z8" s="680">
        <f>X7</f>
        <v>0.19500000000000001</v>
      </c>
      <c r="AA8" s="642" t="s">
        <v>248</v>
      </c>
      <c r="AB8" s="233">
        <v>1.3</v>
      </c>
      <c r="AC8" s="453"/>
      <c r="AD8" s="455"/>
      <c r="AE8" s="655" t="str">
        <f>'Kat. 1 U-Wert'!B7</f>
        <v>Holzkonstruktion</v>
      </c>
      <c r="AF8" s="103" t="s">
        <v>335</v>
      </c>
      <c r="AG8" s="543" t="s">
        <v>350</v>
      </c>
      <c r="AH8" s="543"/>
      <c r="AI8" s="543"/>
      <c r="AJ8" s="543"/>
      <c r="AK8" s="543"/>
      <c r="AL8" s="543"/>
      <c r="AM8" s="543"/>
      <c r="AN8" s="543"/>
      <c r="AO8" s="544"/>
      <c r="AR8" s="513"/>
    </row>
    <row r="9" spans="1:44" ht="19.5" customHeight="1" x14ac:dyDescent="0.25">
      <c r="A9" s="21"/>
      <c r="F9" s="8"/>
      <c r="G9" s="1"/>
      <c r="H9" s="215"/>
      <c r="I9" s="643"/>
      <c r="J9" s="643"/>
      <c r="K9" s="643"/>
      <c r="L9" s="643"/>
      <c r="M9" s="643"/>
      <c r="N9" s="643"/>
      <c r="O9" s="643"/>
      <c r="P9" s="115"/>
      <c r="Q9" s="639"/>
      <c r="R9" s="639"/>
      <c r="S9" s="639"/>
      <c r="T9" s="639"/>
      <c r="U9" s="639"/>
      <c r="V9" s="639"/>
      <c r="W9" s="139"/>
      <c r="X9" s="115"/>
      <c r="Y9" s="642"/>
      <c r="Z9" s="642"/>
      <c r="AA9" s="642"/>
      <c r="AB9" s="22"/>
      <c r="AC9" s="453"/>
      <c r="AD9" s="455"/>
      <c r="AE9" s="653"/>
      <c r="AF9" s="103"/>
      <c r="AG9" s="256" t="s">
        <v>329</v>
      </c>
      <c r="AH9" s="234" t="s">
        <v>257</v>
      </c>
      <c r="AI9" s="235" t="s">
        <v>284</v>
      </c>
      <c r="AJ9" s="234" t="s">
        <v>255</v>
      </c>
      <c r="AK9" s="55" t="s">
        <v>249</v>
      </c>
      <c r="AL9" s="55" t="s">
        <v>250</v>
      </c>
      <c r="AM9" s="55" t="s">
        <v>287</v>
      </c>
      <c r="AN9" s="255" t="s">
        <v>255</v>
      </c>
      <c r="AO9" s="236" t="s">
        <v>286</v>
      </c>
      <c r="AP9" s="237" t="s">
        <v>248</v>
      </c>
      <c r="AQ9" s="206" t="s">
        <v>289</v>
      </c>
      <c r="AR9" s="513"/>
    </row>
    <row r="10" spans="1:44" ht="19.5" customHeight="1" thickBot="1" x14ac:dyDescent="0.3">
      <c r="A10" s="21"/>
      <c r="F10" s="8"/>
      <c r="G10" s="1"/>
      <c r="H10" s="215"/>
      <c r="I10" s="643"/>
      <c r="J10" s="643"/>
      <c r="K10" s="643"/>
      <c r="L10" s="643"/>
      <c r="M10" s="643"/>
      <c r="N10" s="643"/>
      <c r="O10" s="643"/>
      <c r="P10" s="115"/>
      <c r="Q10" s="639"/>
      <c r="R10" s="639"/>
      <c r="S10" s="639"/>
      <c r="T10" s="639"/>
      <c r="U10" s="639"/>
      <c r="V10" s="639"/>
      <c r="W10" s="139"/>
      <c r="X10" s="115"/>
      <c r="Y10" s="642"/>
      <c r="Z10" s="642"/>
      <c r="AA10" s="642"/>
      <c r="AB10" s="22"/>
      <c r="AC10" s="453"/>
      <c r="AD10" s="455"/>
      <c r="AE10" s="653"/>
      <c r="AF10" s="103"/>
      <c r="AG10" s="293">
        <f>AI10+(AK10/AM10)+AO10</f>
        <v>5.14</v>
      </c>
      <c r="AH10" s="238" t="s">
        <v>257</v>
      </c>
      <c r="AI10" s="239">
        <f>'Kat. 1 U-Wert'!C48</f>
        <v>0.1</v>
      </c>
      <c r="AJ10" s="240" t="s">
        <v>255</v>
      </c>
      <c r="AK10" s="239">
        <f>AK6</f>
        <v>0.2</v>
      </c>
      <c r="AL10" s="89" t="s">
        <v>250</v>
      </c>
      <c r="AM10" s="241">
        <f>AO6</f>
        <v>0.04</v>
      </c>
      <c r="AN10" s="238" t="s">
        <v>255</v>
      </c>
      <c r="AO10" s="242">
        <f>'Kat. 1 U-Wert'!C49</f>
        <v>0.04</v>
      </c>
      <c r="AP10" s="243" t="s">
        <v>248</v>
      </c>
      <c r="AQ10" s="244">
        <v>0.3</v>
      </c>
      <c r="AR10" s="513"/>
    </row>
    <row r="11" spans="1:44" ht="19.5" customHeight="1" x14ac:dyDescent="0.25">
      <c r="A11" s="21"/>
      <c r="F11" s="8"/>
      <c r="G11" s="1"/>
      <c r="H11" s="215"/>
      <c r="I11" s="643"/>
      <c r="J11" s="643"/>
      <c r="K11" s="643"/>
      <c r="L11" s="643"/>
      <c r="M11" s="643"/>
      <c r="N11" s="643"/>
      <c r="O11" s="643"/>
      <c r="P11" s="115"/>
      <c r="Q11" s="639"/>
      <c r="R11" s="639"/>
      <c r="S11" s="639"/>
      <c r="T11" s="639"/>
      <c r="U11" s="639"/>
      <c r="V11" s="639"/>
      <c r="W11" s="139"/>
      <c r="X11" s="164">
        <f>ROUND(Z11/AB11,3)</f>
        <v>0.191</v>
      </c>
      <c r="Y11" s="261" t="s">
        <v>257</v>
      </c>
      <c r="Z11" s="310">
        <v>1</v>
      </c>
      <c r="AA11" s="56" t="s">
        <v>250</v>
      </c>
      <c r="AB11" s="333">
        <f>AG12</f>
        <v>5.2486956521739128</v>
      </c>
      <c r="AC11" s="453"/>
      <c r="AD11" s="455"/>
      <c r="AE11" s="55"/>
      <c r="AF11" s="236"/>
      <c r="AG11" s="256" t="s">
        <v>330</v>
      </c>
      <c r="AH11" s="234" t="s">
        <v>257</v>
      </c>
      <c r="AI11" s="235" t="s">
        <v>284</v>
      </c>
      <c r="AJ11" s="234" t="s">
        <v>255</v>
      </c>
      <c r="AK11" s="55" t="s">
        <v>249</v>
      </c>
      <c r="AL11" s="55" t="s">
        <v>250</v>
      </c>
      <c r="AM11" s="55" t="s">
        <v>287</v>
      </c>
      <c r="AN11" s="255" t="s">
        <v>255</v>
      </c>
      <c r="AO11" s="236" t="s">
        <v>285</v>
      </c>
      <c r="AP11" s="232"/>
      <c r="AQ11" s="253"/>
      <c r="AR11" s="513"/>
    </row>
    <row r="12" spans="1:44" ht="19.5" customHeight="1" x14ac:dyDescent="0.25">
      <c r="A12" s="21"/>
      <c r="F12" s="8"/>
      <c r="G12" s="1"/>
      <c r="H12" s="215"/>
      <c r="I12" s="643"/>
      <c r="J12" s="643"/>
      <c r="K12" s="643"/>
      <c r="L12" s="643"/>
      <c r="M12" s="643"/>
      <c r="N12" s="643"/>
      <c r="O12" s="643"/>
      <c r="P12" s="115"/>
      <c r="Q12" s="639"/>
      <c r="R12" s="639"/>
      <c r="S12" s="639"/>
      <c r="T12" s="639"/>
      <c r="U12" s="639"/>
      <c r="V12" s="639"/>
      <c r="W12" s="139"/>
      <c r="X12" s="245" t="s">
        <v>332</v>
      </c>
      <c r="Y12" s="642"/>
      <c r="Z12" s="638"/>
      <c r="AA12" s="681"/>
      <c r="AB12" s="685"/>
      <c r="AC12" s="453"/>
      <c r="AD12" s="455"/>
      <c r="AE12" s="653"/>
      <c r="AF12" s="103"/>
      <c r="AG12" s="294">
        <f>AI12+(AK12/AM12+AK13/AM13)+AO12</f>
        <v>5.2486956521739128</v>
      </c>
      <c r="AH12" s="248" t="s">
        <v>257</v>
      </c>
      <c r="AI12" s="249">
        <f>'Kat. 1 U-Wert'!C48</f>
        <v>0.1</v>
      </c>
      <c r="AJ12" s="250" t="s">
        <v>255</v>
      </c>
      <c r="AK12" s="249">
        <f>AK7</f>
        <v>0.2</v>
      </c>
      <c r="AL12" s="15" t="s">
        <v>250</v>
      </c>
      <c r="AM12" s="251">
        <f>AO7</f>
        <v>0.04</v>
      </c>
      <c r="AN12" s="248" t="s">
        <v>255</v>
      </c>
      <c r="AO12" s="252">
        <f>'Kat. 1 U-Wert'!C49</f>
        <v>0.04</v>
      </c>
      <c r="AP12" s="232"/>
      <c r="AQ12" s="253"/>
      <c r="AR12" s="513"/>
    </row>
    <row r="13" spans="1:44" ht="19.5" customHeight="1" thickBot="1" x14ac:dyDescent="0.3">
      <c r="A13" s="21"/>
      <c r="F13" s="8"/>
      <c r="G13" s="1"/>
      <c r="H13" s="215"/>
      <c r="I13" s="643"/>
      <c r="J13" s="643"/>
      <c r="K13" s="643"/>
      <c r="L13" s="643"/>
      <c r="M13" s="643"/>
      <c r="N13" s="643"/>
      <c r="O13" s="643"/>
      <c r="P13" s="177"/>
      <c r="Q13" s="178"/>
      <c r="R13" s="178"/>
      <c r="S13" s="178"/>
      <c r="T13" s="178"/>
      <c r="U13" s="178"/>
      <c r="V13" s="178"/>
      <c r="W13" s="266"/>
      <c r="X13" s="177"/>
      <c r="Y13" s="25"/>
      <c r="Z13" s="25"/>
      <c r="AA13" s="25"/>
      <c r="AB13" s="26"/>
      <c r="AC13" s="458"/>
      <c r="AD13" s="570"/>
      <c r="AE13" s="653"/>
      <c r="AF13" s="103"/>
      <c r="AG13" s="251"/>
      <c r="AH13" s="248"/>
      <c r="AI13" s="249"/>
      <c r="AJ13" s="250"/>
      <c r="AK13" s="249">
        <v>0.25</v>
      </c>
      <c r="AL13" s="15" t="s">
        <v>250</v>
      </c>
      <c r="AM13" s="251">
        <v>2.2999999999999998</v>
      </c>
      <c r="AN13" s="248"/>
      <c r="AO13" s="252"/>
      <c r="AP13" s="246"/>
      <c r="AQ13" s="247"/>
      <c r="AR13" s="514"/>
    </row>
    <row r="14" spans="1:44" ht="19.5" customHeight="1" thickBot="1" x14ac:dyDescent="0.3">
      <c r="A14" s="21"/>
      <c r="F14" s="8"/>
      <c r="G14" s="1"/>
      <c r="H14" s="215"/>
      <c r="I14" s="643"/>
      <c r="J14" s="643"/>
      <c r="K14" s="643"/>
      <c r="L14" s="643"/>
      <c r="M14" s="643"/>
      <c r="N14" s="643"/>
      <c r="O14" s="643"/>
      <c r="P14" s="523"/>
      <c r="Q14" s="524"/>
      <c r="R14" s="524"/>
      <c r="S14" s="524"/>
      <c r="T14" s="524"/>
      <c r="U14" s="524"/>
      <c r="V14" s="524"/>
      <c r="W14" s="524"/>
      <c r="X14" s="524"/>
      <c r="Y14" s="524"/>
      <c r="Z14" s="524"/>
      <c r="AA14" s="524"/>
      <c r="AB14" s="524"/>
      <c r="AC14" s="524"/>
      <c r="AD14" s="524"/>
      <c r="AE14" s="524"/>
      <c r="AF14" s="524"/>
      <c r="AG14" s="524"/>
      <c r="AH14" s="524"/>
      <c r="AI14" s="524"/>
      <c r="AJ14" s="524"/>
      <c r="AK14" s="524"/>
      <c r="AL14" s="524"/>
      <c r="AM14" s="524"/>
      <c r="AN14" s="524"/>
      <c r="AO14" s="526"/>
      <c r="AP14" s="232"/>
      <c r="AQ14" s="253"/>
      <c r="AR14" s="53"/>
    </row>
    <row r="15" spans="1:44" ht="19.5" customHeight="1" x14ac:dyDescent="0.25">
      <c r="A15" s="21"/>
      <c r="F15" s="8"/>
      <c r="G15" s="1"/>
      <c r="H15" s="215"/>
      <c r="I15" s="643"/>
      <c r="J15" s="643"/>
      <c r="K15" s="643"/>
      <c r="L15" s="643"/>
      <c r="M15" s="643"/>
      <c r="N15" s="643"/>
      <c r="O15" s="643"/>
      <c r="P15" s="533" t="s">
        <v>270</v>
      </c>
      <c r="Q15" s="534"/>
      <c r="R15" s="534"/>
      <c r="S15" s="534"/>
      <c r="T15" s="534"/>
      <c r="U15" s="534"/>
      <c r="V15" s="534"/>
      <c r="W15" s="686"/>
      <c r="X15" s="450" t="s">
        <v>247</v>
      </c>
      <c r="Y15" s="451"/>
      <c r="Z15" s="451"/>
      <c r="AA15" s="451"/>
      <c r="AB15" s="452"/>
      <c r="AC15" s="450"/>
      <c r="AD15" s="452"/>
      <c r="AE15" s="79" t="s">
        <v>375</v>
      </c>
      <c r="AF15" s="103"/>
      <c r="AG15" s="205" t="s">
        <v>122</v>
      </c>
      <c r="AH15" s="248"/>
      <c r="AI15" s="249"/>
      <c r="AJ15" s="250"/>
      <c r="AK15" s="260" t="s">
        <v>261</v>
      </c>
      <c r="AL15" s="15"/>
      <c r="AM15" s="231">
        <v>0</v>
      </c>
      <c r="AN15" s="16" t="s">
        <v>62</v>
      </c>
      <c r="AO15" s="103"/>
    </row>
    <row r="16" spans="1:44" ht="19.5" customHeight="1" x14ac:dyDescent="0.25">
      <c r="A16" s="21"/>
      <c r="F16" s="8"/>
      <c r="G16" s="1"/>
      <c r="H16" s="215"/>
      <c r="I16" s="643"/>
      <c r="J16" s="643"/>
      <c r="K16" s="643"/>
      <c r="L16" s="643"/>
      <c r="M16" s="643"/>
      <c r="N16" s="643"/>
      <c r="O16" s="643"/>
      <c r="P16" s="74"/>
      <c r="Q16" s="682" t="s">
        <v>260</v>
      </c>
      <c r="R16" s="261" t="s">
        <v>257</v>
      </c>
      <c r="S16" s="56" t="s">
        <v>259</v>
      </c>
      <c r="T16" s="683" t="s">
        <v>248</v>
      </c>
      <c r="U16" s="56" t="s">
        <v>256</v>
      </c>
      <c r="V16" s="683" t="s">
        <v>248</v>
      </c>
      <c r="W16" s="392" t="s">
        <v>258</v>
      </c>
      <c r="X16" s="258" t="s">
        <v>258</v>
      </c>
      <c r="Y16" s="240" t="s">
        <v>257</v>
      </c>
      <c r="Z16" s="259">
        <f>AM15</f>
        <v>0</v>
      </c>
      <c r="AA16" s="59"/>
      <c r="AB16" s="82"/>
      <c r="AC16" s="453"/>
      <c r="AD16" s="455"/>
      <c r="AE16" s="79"/>
      <c r="AF16" s="103"/>
      <c r="AG16" s="205"/>
      <c r="AH16" s="248"/>
      <c r="AI16" s="249"/>
      <c r="AJ16" s="250"/>
      <c r="AK16" s="260"/>
      <c r="AL16" s="15"/>
      <c r="AM16" s="231"/>
      <c r="AN16" s="16"/>
      <c r="AO16" s="103"/>
    </row>
    <row r="17" spans="1:46" ht="19.5" customHeight="1" x14ac:dyDescent="0.25">
      <c r="A17" s="21"/>
      <c r="F17" s="8"/>
      <c r="G17" s="1"/>
      <c r="H17" s="215"/>
      <c r="I17" s="643"/>
      <c r="J17" s="643"/>
      <c r="K17" s="643"/>
      <c r="L17" s="643"/>
      <c r="M17" s="643"/>
      <c r="N17" s="643"/>
      <c r="O17" s="643"/>
      <c r="P17" s="21"/>
      <c r="Q17" s="706">
        <f>S17*U17*W17</f>
        <v>0</v>
      </c>
      <c r="R17" s="638" t="s">
        <v>257</v>
      </c>
      <c r="S17" s="639">
        <v>0.93</v>
      </c>
      <c r="T17" s="640" t="s">
        <v>248</v>
      </c>
      <c r="U17" s="707">
        <f>Z18</f>
        <v>2</v>
      </c>
      <c r="V17" s="640" t="s">
        <v>248</v>
      </c>
      <c r="W17" s="230">
        <f>Z16</f>
        <v>0</v>
      </c>
      <c r="X17" s="453" t="s">
        <v>116</v>
      </c>
      <c r="Y17" s="637"/>
      <c r="Z17" s="637"/>
      <c r="AA17" s="637"/>
      <c r="AB17" s="455"/>
      <c r="AC17" s="453"/>
      <c r="AD17" s="455"/>
      <c r="AE17" s="90" t="s">
        <v>363</v>
      </c>
      <c r="AF17" s="236"/>
      <c r="AG17" s="510" t="s">
        <v>271</v>
      </c>
      <c r="AH17" s="510"/>
      <c r="AI17" s="510"/>
      <c r="AJ17" s="510"/>
      <c r="AK17" s="510"/>
      <c r="AL17" s="55"/>
      <c r="AM17" s="290" t="s">
        <v>372</v>
      </c>
      <c r="AN17" s="235">
        <v>2</v>
      </c>
      <c r="AO17" s="291" t="s">
        <v>64</v>
      </c>
    </row>
    <row r="18" spans="1:46" ht="19.5" customHeight="1" x14ac:dyDescent="0.25">
      <c r="A18" s="21"/>
      <c r="F18" s="8"/>
      <c r="G18" s="1"/>
      <c r="H18" s="215"/>
      <c r="I18" s="643"/>
      <c r="J18" s="643"/>
      <c r="K18" s="643"/>
      <c r="L18" s="643"/>
      <c r="M18" s="643"/>
      <c r="N18" s="643"/>
      <c r="O18" s="643"/>
      <c r="P18" s="21"/>
      <c r="Q18" s="642"/>
      <c r="R18" s="642"/>
      <c r="S18" s="642"/>
      <c r="T18" s="642"/>
      <c r="U18" s="642"/>
      <c r="V18" s="642"/>
      <c r="W18" s="22"/>
      <c r="X18" s="226" t="s">
        <v>256</v>
      </c>
      <c r="Y18" s="638" t="s">
        <v>257</v>
      </c>
      <c r="Z18" s="708">
        <f>AN17</f>
        <v>2</v>
      </c>
      <c r="AA18" s="642"/>
      <c r="AB18" s="139"/>
      <c r="AC18" s="453"/>
      <c r="AD18" s="455"/>
      <c r="AE18" s="79" t="str">
        <f>'Kat. 1 U-Wert'!B37</f>
        <v>Holzfenster, zwei Scheiben</v>
      </c>
      <c r="AF18" s="103" t="s">
        <v>351</v>
      </c>
      <c r="AG18" s="444" t="s">
        <v>395</v>
      </c>
      <c r="AH18" s="444"/>
      <c r="AI18" s="444"/>
      <c r="AJ18" s="444"/>
      <c r="AK18" s="444"/>
      <c r="AL18" s="444"/>
      <c r="AM18" s="444"/>
      <c r="AN18" s="444"/>
      <c r="AO18" s="457"/>
    </row>
    <row r="19" spans="1:46" ht="19.5" customHeight="1" x14ac:dyDescent="0.25">
      <c r="A19" s="21"/>
      <c r="F19" s="8"/>
      <c r="G19" s="1"/>
      <c r="H19" s="215"/>
      <c r="I19" s="643"/>
      <c r="J19" s="643"/>
      <c r="K19" s="643"/>
      <c r="L19" s="643"/>
      <c r="M19" s="643"/>
      <c r="N19" s="643"/>
      <c r="O19" s="643"/>
      <c r="P19" s="226"/>
      <c r="Q19" s="638"/>
      <c r="R19" s="639"/>
      <c r="S19" s="640"/>
      <c r="T19" s="639"/>
      <c r="U19" s="640"/>
      <c r="V19" s="648"/>
      <c r="W19" s="204"/>
      <c r="X19" s="80"/>
      <c r="Y19" s="639"/>
      <c r="Z19" s="638"/>
      <c r="AA19" s="639"/>
      <c r="AB19" s="139"/>
      <c r="AC19" s="453"/>
      <c r="AD19" s="455"/>
      <c r="AE19" s="79" t="str">
        <f>'Kat. 1 U-Wert'!B39</f>
        <v>Kunststofffenster, Isolierverglasung</v>
      </c>
      <c r="AF19" s="103" t="s">
        <v>352</v>
      </c>
      <c r="AG19" s="444" t="s">
        <v>396</v>
      </c>
      <c r="AH19" s="444"/>
      <c r="AI19" s="444"/>
      <c r="AJ19" s="444"/>
      <c r="AK19" s="444"/>
      <c r="AL19" s="444"/>
      <c r="AM19" s="444"/>
      <c r="AN19" s="444"/>
      <c r="AO19" s="457"/>
    </row>
    <row r="20" spans="1:46" ht="19.5" customHeight="1" thickBot="1" x14ac:dyDescent="0.3">
      <c r="A20" s="21"/>
      <c r="F20" s="18"/>
      <c r="G20" s="3"/>
      <c r="H20" s="136"/>
      <c r="I20" s="149"/>
      <c r="J20" s="149"/>
      <c r="K20" s="149"/>
      <c r="L20" s="149"/>
      <c r="M20" s="149"/>
      <c r="N20" s="149"/>
      <c r="O20" s="149"/>
      <c r="P20" s="281"/>
      <c r="Q20" s="280"/>
      <c r="R20" s="178"/>
      <c r="S20" s="282"/>
      <c r="T20" s="178"/>
      <c r="U20" s="282"/>
      <c r="V20" s="669"/>
      <c r="W20" s="283"/>
      <c r="X20" s="436"/>
      <c r="Y20" s="178"/>
      <c r="Z20" s="280"/>
      <c r="AA20" s="178"/>
      <c r="AB20" s="266"/>
      <c r="AC20" s="458"/>
      <c r="AD20" s="570"/>
      <c r="AE20" s="267"/>
      <c r="AF20" s="273"/>
      <c r="AG20" s="490" t="s">
        <v>348</v>
      </c>
      <c r="AH20" s="490"/>
      <c r="AI20" s="490"/>
      <c r="AJ20" s="490"/>
      <c r="AK20" s="490"/>
      <c r="AL20" s="490"/>
      <c r="AM20" s="490"/>
      <c r="AN20" s="490"/>
      <c r="AO20" s="491"/>
    </row>
    <row r="21" spans="1:46" ht="19.5" customHeight="1" x14ac:dyDescent="0.25">
      <c r="A21" s="21"/>
      <c r="H21" s="23"/>
      <c r="I21" s="23"/>
      <c r="J21" s="23"/>
      <c r="K21" s="23"/>
      <c r="L21" s="23"/>
      <c r="M21" s="23"/>
      <c r="N21" s="23"/>
      <c r="O21" s="23"/>
      <c r="P21" s="304"/>
      <c r="Q21" s="224"/>
      <c r="R21" s="53"/>
      <c r="S21" s="225"/>
      <c r="T21" s="53"/>
      <c r="U21" s="225"/>
      <c r="V21" s="303"/>
      <c r="W21" s="303"/>
      <c r="X21" s="303"/>
      <c r="Y21" s="53"/>
      <c r="Z21" s="224"/>
      <c r="AA21" s="53"/>
      <c r="AB21" s="53"/>
      <c r="AC21" s="53"/>
      <c r="AD21" s="53"/>
      <c r="AE21" s="205"/>
      <c r="AF21" s="15"/>
      <c r="AG21" s="298"/>
      <c r="AH21" s="298"/>
      <c r="AI21" s="298"/>
      <c r="AJ21" s="298"/>
      <c r="AK21" s="298"/>
      <c r="AL21" s="298"/>
      <c r="AM21" s="298"/>
      <c r="AN21" s="298"/>
      <c r="AO21" s="298"/>
    </row>
    <row r="22" spans="1:46" ht="16.5" thickBot="1" x14ac:dyDescent="0.3">
      <c r="A22" s="21"/>
      <c r="AE22" s="538"/>
      <c r="AF22" s="538"/>
      <c r="AG22" s="538"/>
      <c r="AH22" s="538"/>
      <c r="AI22" s="538"/>
      <c r="AJ22" s="538"/>
      <c r="AK22" s="538"/>
      <c r="AL22" s="538"/>
      <c r="AM22" s="538"/>
      <c r="AN22" s="538"/>
      <c r="AO22" s="538"/>
      <c r="AR22" s="642"/>
    </row>
    <row r="23" spans="1:46" ht="19.5" thickBot="1" x14ac:dyDescent="0.35">
      <c r="A23" s="51" t="s">
        <v>85</v>
      </c>
      <c r="B23" s="27"/>
      <c r="C23" s="27"/>
      <c r="D23" s="27"/>
      <c r="E23" s="27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20"/>
      <c r="AR23" s="642"/>
      <c r="AT23" s="642"/>
    </row>
    <row r="24" spans="1:46" ht="31.5" customHeight="1" x14ac:dyDescent="0.25">
      <c r="A24" s="21"/>
      <c r="B24" s="670"/>
      <c r="C24" s="670"/>
      <c r="D24" s="670"/>
      <c r="E24" s="670"/>
      <c r="F24" s="642"/>
      <c r="G24" s="642"/>
      <c r="H24" s="642"/>
      <c r="I24" s="642"/>
      <c r="J24" s="642"/>
      <c r="K24" s="642"/>
      <c r="L24" s="642"/>
      <c r="M24" s="642"/>
      <c r="N24" s="642"/>
      <c r="O24" s="482" t="s">
        <v>458</v>
      </c>
      <c r="P24" s="483"/>
      <c r="Q24" s="483"/>
      <c r="R24" s="483"/>
      <c r="S24" s="483"/>
      <c r="T24" s="483"/>
      <c r="U24" s="644" t="s">
        <v>455</v>
      </c>
      <c r="V24" s="568"/>
      <c r="W24" s="693"/>
      <c r="X24" s="547" t="s">
        <v>450</v>
      </c>
      <c r="Y24" s="475"/>
      <c r="Z24" s="547" t="s">
        <v>449</v>
      </c>
      <c r="AA24" s="474"/>
      <c r="AB24" s="475"/>
      <c r="AC24" s="474" t="s">
        <v>451</v>
      </c>
      <c r="AD24" s="474"/>
      <c r="AE24" s="575" t="s">
        <v>376</v>
      </c>
      <c r="AF24" s="576"/>
      <c r="AG24" s="535"/>
      <c r="AH24" s="535"/>
      <c r="AI24" s="535"/>
      <c r="AJ24" s="535"/>
      <c r="AK24" s="535"/>
      <c r="AL24" s="535"/>
      <c r="AM24" s="535"/>
      <c r="AN24" s="535"/>
      <c r="AO24" s="805"/>
      <c r="AP24" s="714"/>
      <c r="AQ24" s="806"/>
      <c r="AR24" s="642"/>
      <c r="AS24" s="642"/>
      <c r="AT24" s="642"/>
    </row>
    <row r="25" spans="1:46" ht="25.5" customHeight="1" x14ac:dyDescent="0.25">
      <c r="A25" s="21"/>
      <c r="B25" s="670"/>
      <c r="C25" s="670"/>
      <c r="D25" s="670"/>
      <c r="E25" s="670"/>
      <c r="F25" s="642"/>
      <c r="G25" s="642"/>
      <c r="H25" s="642"/>
      <c r="I25" s="642"/>
      <c r="J25" s="642"/>
      <c r="K25" s="642"/>
      <c r="L25" s="642"/>
      <c r="M25" s="642"/>
      <c r="N25" s="642"/>
      <c r="O25" s="484" t="s">
        <v>69</v>
      </c>
      <c r="P25" s="637"/>
      <c r="Q25" s="637"/>
      <c r="R25" s="637"/>
      <c r="S25" s="637"/>
      <c r="T25" s="637"/>
      <c r="U25" s="645" t="s">
        <v>252</v>
      </c>
      <c r="V25" s="560"/>
      <c r="W25" s="694"/>
      <c r="X25" s="548" t="s">
        <v>64</v>
      </c>
      <c r="Y25" s="518"/>
      <c r="Z25" s="548" t="s">
        <v>64</v>
      </c>
      <c r="AA25" s="502"/>
      <c r="AB25" s="518"/>
      <c r="AC25" s="502" t="s">
        <v>452</v>
      </c>
      <c r="AD25" s="502"/>
      <c r="AE25" s="561" t="s">
        <v>383</v>
      </c>
      <c r="AF25" s="547" t="s">
        <v>353</v>
      </c>
      <c r="AG25" s="545" t="s">
        <v>391</v>
      </c>
      <c r="AH25" s="545"/>
      <c r="AI25" s="545"/>
      <c r="AJ25" s="545"/>
      <c r="AK25" s="545"/>
      <c r="AL25" s="545"/>
      <c r="AM25" s="545"/>
      <c r="AN25" s="545"/>
      <c r="AO25" s="546"/>
      <c r="AP25" s="643"/>
      <c r="AQ25" s="212"/>
      <c r="AR25" s="642"/>
      <c r="AS25" s="642"/>
      <c r="AT25" s="642"/>
    </row>
    <row r="26" spans="1:46" ht="24" customHeight="1" x14ac:dyDescent="0.25">
      <c r="A26" s="21"/>
      <c r="B26" s="670"/>
      <c r="C26" s="670"/>
      <c r="D26" s="670"/>
      <c r="E26" s="670"/>
      <c r="F26" s="642"/>
      <c r="G26" s="642"/>
      <c r="H26" s="642"/>
      <c r="I26" s="642"/>
      <c r="J26" s="642"/>
      <c r="K26" s="642"/>
      <c r="L26" s="642"/>
      <c r="M26" s="642"/>
      <c r="N26" s="642"/>
      <c r="O26" s="440" t="s">
        <v>260</v>
      </c>
      <c r="P26" s="638" t="s">
        <v>257</v>
      </c>
      <c r="Q26" s="639" t="s">
        <v>256</v>
      </c>
      <c r="R26" s="640" t="s">
        <v>248</v>
      </c>
      <c r="S26" s="639" t="s">
        <v>258</v>
      </c>
      <c r="T26" s="366"/>
      <c r="U26" s="695" t="e">
        <f>ROUNDUP(U30,2)</f>
        <v>#DIV/0!</v>
      </c>
      <c r="V26" s="692"/>
      <c r="W26" s="645"/>
      <c r="X26" s="689">
        <f>'Kat. 1 U-Wert'!F93</f>
        <v>0.14000000000000001</v>
      </c>
      <c r="Y26" s="689"/>
      <c r="Z26" s="548">
        <f>Y14</f>
        <v>0</v>
      </c>
      <c r="AA26" s="502"/>
      <c r="AB26" s="518"/>
      <c r="AC26" s="690">
        <f>AO7</f>
        <v>0.04</v>
      </c>
      <c r="AD26" s="691"/>
      <c r="AE26" s="562"/>
      <c r="AF26" s="548"/>
      <c r="AG26" s="545"/>
      <c r="AH26" s="545"/>
      <c r="AI26" s="545"/>
      <c r="AJ26" s="545"/>
      <c r="AK26" s="545"/>
      <c r="AL26" s="545"/>
      <c r="AM26" s="545"/>
      <c r="AN26" s="545"/>
      <c r="AO26" s="546"/>
      <c r="AP26" s="643"/>
      <c r="AQ26" s="212"/>
      <c r="AR26" s="642"/>
      <c r="AS26" s="642"/>
      <c r="AT26" s="642"/>
    </row>
    <row r="27" spans="1:46" ht="32.25" customHeight="1" x14ac:dyDescent="0.25">
      <c r="A27" s="21"/>
      <c r="B27" s="670"/>
      <c r="C27" s="670"/>
      <c r="D27" s="670"/>
      <c r="E27" s="670"/>
      <c r="F27" s="642"/>
      <c r="G27" s="642"/>
      <c r="H27" s="642"/>
      <c r="I27" s="642"/>
      <c r="J27" s="642"/>
      <c r="K27" s="642"/>
      <c r="L27" s="642"/>
      <c r="M27" s="642"/>
      <c r="N27" s="642"/>
      <c r="O27" s="441">
        <f>Q27*S27</f>
        <v>0</v>
      </c>
      <c r="P27" s="638" t="s">
        <v>257</v>
      </c>
      <c r="Q27" s="641">
        <f>X26</f>
        <v>0.14000000000000001</v>
      </c>
      <c r="R27" s="640" t="s">
        <v>248</v>
      </c>
      <c r="S27" s="659">
        <f>Z4</f>
        <v>0</v>
      </c>
      <c r="T27" s="216"/>
      <c r="U27" s="687" t="s">
        <v>457</v>
      </c>
      <c r="V27" s="687"/>
      <c r="W27" s="646"/>
      <c r="X27" s="545" t="s">
        <v>456</v>
      </c>
      <c r="Y27" s="545"/>
      <c r="Z27" s="542" t="s">
        <v>454</v>
      </c>
      <c r="AA27" s="563"/>
      <c r="AB27" s="479"/>
      <c r="AC27" s="542" t="s">
        <v>453</v>
      </c>
      <c r="AD27" s="563"/>
      <c r="AE27" s="561" t="s">
        <v>384</v>
      </c>
      <c r="AF27" s="547" t="s">
        <v>367</v>
      </c>
      <c r="AG27" s="545" t="s">
        <v>392</v>
      </c>
      <c r="AH27" s="545"/>
      <c r="AI27" s="545"/>
      <c r="AJ27" s="545"/>
      <c r="AK27" s="545"/>
      <c r="AL27" s="545"/>
      <c r="AM27" s="545"/>
      <c r="AN27" s="545"/>
      <c r="AO27" s="546"/>
      <c r="AP27" s="643"/>
      <c r="AQ27" s="212"/>
      <c r="AR27" s="642"/>
      <c r="AS27" s="642"/>
      <c r="AT27" s="642"/>
    </row>
    <row r="28" spans="1:46" ht="18" customHeight="1" x14ac:dyDescent="0.25">
      <c r="A28" s="21"/>
      <c r="B28" s="670"/>
      <c r="C28" s="670"/>
      <c r="D28" s="670"/>
      <c r="E28" s="670"/>
      <c r="F28" s="642"/>
      <c r="G28" s="642"/>
      <c r="H28" s="642"/>
      <c r="I28" s="642"/>
      <c r="J28" s="642"/>
      <c r="K28" s="642"/>
      <c r="L28" s="642"/>
      <c r="M28" s="642"/>
      <c r="N28" s="642"/>
      <c r="O28" s="1"/>
      <c r="P28" s="642"/>
      <c r="Q28" s="643"/>
      <c r="R28" s="643"/>
      <c r="S28" s="643"/>
      <c r="T28" s="216"/>
      <c r="U28" s="163"/>
      <c r="V28" s="163"/>
      <c r="W28" s="163"/>
      <c r="X28" s="57"/>
      <c r="Y28" s="163"/>
      <c r="Z28" s="163"/>
      <c r="AA28" s="54"/>
      <c r="AB28" s="54"/>
      <c r="AC28" s="54"/>
      <c r="AD28" s="54"/>
      <c r="AE28" s="562"/>
      <c r="AF28" s="548"/>
      <c r="AG28" s="545"/>
      <c r="AH28" s="545"/>
      <c r="AI28" s="545"/>
      <c r="AJ28" s="545"/>
      <c r="AK28" s="545"/>
      <c r="AL28" s="545"/>
      <c r="AM28" s="545"/>
      <c r="AN28" s="545"/>
      <c r="AO28" s="546"/>
      <c r="AP28" s="643"/>
      <c r="AQ28" s="212"/>
      <c r="AR28" s="642"/>
      <c r="AS28" s="642"/>
      <c r="AT28" s="642"/>
    </row>
    <row r="29" spans="1:46" ht="18" customHeight="1" x14ac:dyDescent="0.25">
      <c r="A29" s="21"/>
      <c r="B29" s="670"/>
      <c r="C29" s="670"/>
      <c r="D29" s="670"/>
      <c r="E29" s="670"/>
      <c r="F29" s="642"/>
      <c r="G29" s="642"/>
      <c r="H29" s="642"/>
      <c r="I29" s="642"/>
      <c r="J29" s="642"/>
      <c r="K29" s="642"/>
      <c r="L29" s="642"/>
      <c r="M29" s="642"/>
      <c r="N29" s="642"/>
      <c r="O29" s="1"/>
      <c r="P29" s="642"/>
      <c r="Q29" s="639"/>
      <c r="R29" s="639"/>
      <c r="S29" s="639"/>
      <c r="T29" s="366"/>
      <c r="U29" s="483" t="s">
        <v>445</v>
      </c>
      <c r="V29" s="483"/>
      <c r="W29" s="261" t="s">
        <v>257</v>
      </c>
      <c r="X29" s="483" t="s">
        <v>446</v>
      </c>
      <c r="Y29" s="483"/>
      <c r="Z29" s="261" t="s">
        <v>188</v>
      </c>
      <c r="AA29" s="483" t="s">
        <v>447</v>
      </c>
      <c r="AB29" s="483"/>
      <c r="AC29" s="261" t="s">
        <v>248</v>
      </c>
      <c r="AD29" s="56" t="s">
        <v>448</v>
      </c>
      <c r="AE29" s="554" t="s">
        <v>393</v>
      </c>
      <c r="AF29" s="547" t="s">
        <v>354</v>
      </c>
      <c r="AG29" s="545" t="s">
        <v>392</v>
      </c>
      <c r="AH29" s="545"/>
      <c r="AI29" s="545"/>
      <c r="AJ29" s="545"/>
      <c r="AK29" s="545"/>
      <c r="AL29" s="545"/>
      <c r="AM29" s="545"/>
      <c r="AN29" s="545"/>
      <c r="AO29" s="546"/>
      <c r="AP29" s="643"/>
      <c r="AQ29" s="212"/>
      <c r="AR29" s="642"/>
      <c r="AS29" s="642"/>
      <c r="AT29" s="642"/>
    </row>
    <row r="30" spans="1:46" ht="17.25" customHeight="1" x14ac:dyDescent="0.25">
      <c r="A30" s="21"/>
      <c r="B30" s="670"/>
      <c r="C30" s="670"/>
      <c r="D30" s="670"/>
      <c r="E30" s="670"/>
      <c r="F30" s="642"/>
      <c r="G30" s="642"/>
      <c r="H30" s="642"/>
      <c r="I30" s="642"/>
      <c r="J30" s="642"/>
      <c r="K30" s="642"/>
      <c r="L30" s="642"/>
      <c r="M30" s="642"/>
      <c r="N30" s="642"/>
      <c r="O30" s="1"/>
      <c r="P30" s="642"/>
      <c r="Q30" s="639"/>
      <c r="R30" s="639"/>
      <c r="S30" s="639"/>
      <c r="T30" s="366"/>
      <c r="U30" s="552" t="e">
        <f>(X30-AA30)*AD30</f>
        <v>#DIV/0!</v>
      </c>
      <c r="V30" s="552"/>
      <c r="W30" s="288" t="s">
        <v>257</v>
      </c>
      <c r="X30" s="552">
        <f>1/X26</f>
        <v>7.1428571428571423</v>
      </c>
      <c r="Y30" s="552"/>
      <c r="Z30" s="288" t="s">
        <v>188</v>
      </c>
      <c r="AA30" s="552" t="e">
        <f>1/0</f>
        <v>#DIV/0!</v>
      </c>
      <c r="AB30" s="552"/>
      <c r="AC30" s="288" t="s">
        <v>248</v>
      </c>
      <c r="AD30" s="439">
        <f>AC26</f>
        <v>0.04</v>
      </c>
      <c r="AE30" s="554"/>
      <c r="AF30" s="465"/>
      <c r="AG30" s="545"/>
      <c r="AH30" s="545"/>
      <c r="AI30" s="545"/>
      <c r="AJ30" s="545"/>
      <c r="AK30" s="545"/>
      <c r="AL30" s="545"/>
      <c r="AM30" s="545"/>
      <c r="AN30" s="545"/>
      <c r="AO30" s="546"/>
      <c r="AP30" s="643"/>
      <c r="AQ30" s="212"/>
      <c r="AR30" s="642"/>
      <c r="AS30" s="642"/>
      <c r="AT30" s="642"/>
    </row>
    <row r="31" spans="1:46" ht="17.25" customHeight="1" thickBot="1" x14ac:dyDescent="0.3">
      <c r="A31" s="21"/>
      <c r="B31" s="670"/>
      <c r="C31" s="670"/>
      <c r="D31" s="670"/>
      <c r="E31" s="670"/>
      <c r="F31" s="642"/>
      <c r="G31" s="642"/>
      <c r="H31" s="642"/>
      <c r="I31" s="642"/>
      <c r="J31" s="642"/>
      <c r="K31" s="642"/>
      <c r="L31" s="642"/>
      <c r="M31" s="642"/>
      <c r="N31" s="642"/>
      <c r="O31" s="1"/>
      <c r="P31" s="642"/>
      <c r="Q31" s="639"/>
      <c r="R31" s="639"/>
      <c r="S31" s="639"/>
      <c r="T31" s="366"/>
      <c r="U31" s="56"/>
      <c r="V31" s="56"/>
      <c r="W31" s="56"/>
      <c r="X31" s="56"/>
      <c r="Y31" s="55"/>
      <c r="Z31" s="55"/>
      <c r="AA31" s="55"/>
      <c r="AB31" s="55"/>
      <c r="AC31" s="55"/>
      <c r="AD31" s="55"/>
      <c r="AE31" s="555"/>
      <c r="AF31" s="461"/>
      <c r="AG31" s="557"/>
      <c r="AH31" s="557"/>
      <c r="AI31" s="557"/>
      <c r="AJ31" s="557"/>
      <c r="AK31" s="557"/>
      <c r="AL31" s="557"/>
      <c r="AM31" s="557"/>
      <c r="AN31" s="557"/>
      <c r="AO31" s="558"/>
      <c r="AP31" s="643"/>
      <c r="AQ31" s="212"/>
      <c r="AR31" s="642"/>
      <c r="AS31" s="642"/>
      <c r="AT31" s="642"/>
    </row>
    <row r="32" spans="1:46" ht="16.5" customHeight="1" thickBot="1" x14ac:dyDescent="0.3">
      <c r="A32" s="21"/>
      <c r="B32" s="670"/>
      <c r="C32" s="670"/>
      <c r="D32" s="670"/>
      <c r="E32" s="670"/>
      <c r="F32" s="642"/>
      <c r="G32" s="642"/>
      <c r="H32" s="642"/>
      <c r="I32" s="642"/>
      <c r="J32" s="642"/>
      <c r="K32" s="642"/>
      <c r="L32" s="642"/>
      <c r="M32" s="642"/>
      <c r="N32" s="642"/>
      <c r="O32" s="802" t="s">
        <v>310</v>
      </c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803"/>
      <c r="AD32" s="803"/>
      <c r="AE32" s="803"/>
      <c r="AF32" s="803"/>
      <c r="AG32" s="803"/>
      <c r="AH32" s="803"/>
      <c r="AI32" s="803"/>
      <c r="AJ32" s="803"/>
      <c r="AK32" s="803"/>
      <c r="AL32" s="803"/>
      <c r="AM32" s="803"/>
      <c r="AN32" s="803"/>
      <c r="AO32" s="804"/>
      <c r="AP32" s="715"/>
      <c r="AQ32" s="807"/>
      <c r="AR32" s="671"/>
      <c r="AS32" s="642"/>
      <c r="AT32" s="642"/>
    </row>
    <row r="33" spans="1:45" ht="16.5" customHeight="1" thickBot="1" x14ac:dyDescent="0.3">
      <c r="A33" s="21"/>
      <c r="B33" s="670"/>
      <c r="C33" s="670"/>
      <c r="D33" s="670"/>
      <c r="E33" s="670"/>
      <c r="F33" s="642"/>
      <c r="G33" s="642"/>
      <c r="H33" s="642"/>
      <c r="I33" s="642"/>
      <c r="J33" s="642"/>
      <c r="K33" s="642"/>
      <c r="L33" s="642"/>
      <c r="M33" s="642"/>
      <c r="N33" s="642"/>
      <c r="O33" s="671"/>
      <c r="P33" s="672"/>
      <c r="Q33" s="672"/>
      <c r="R33" s="672"/>
      <c r="S33" s="672"/>
      <c r="T33" s="672"/>
      <c r="U33" s="672"/>
      <c r="V33" s="672"/>
      <c r="W33" s="672"/>
      <c r="X33" s="672"/>
      <c r="Y33" s="672"/>
      <c r="Z33" s="672"/>
      <c r="AA33" s="672"/>
      <c r="AB33" s="672"/>
      <c r="AC33" s="672"/>
      <c r="AD33" s="672"/>
      <c r="AE33" s="673"/>
      <c r="AF33" s="672"/>
      <c r="AG33" s="672"/>
      <c r="AH33" s="671"/>
      <c r="AI33" s="671"/>
      <c r="AJ33" s="671"/>
      <c r="AK33" s="671"/>
      <c r="AL33" s="671"/>
      <c r="AM33" s="671"/>
      <c r="AN33" s="671"/>
      <c r="AO33" s="671"/>
      <c r="AP33" s="671"/>
      <c r="AQ33" s="674"/>
      <c r="AR33" s="671"/>
      <c r="AS33" s="642"/>
    </row>
    <row r="34" spans="1:45" ht="27" customHeight="1" x14ac:dyDescent="0.25">
      <c r="A34" s="21"/>
      <c r="B34" s="670"/>
      <c r="C34" s="670"/>
      <c r="D34" s="670"/>
      <c r="E34" s="670"/>
      <c r="F34" s="642"/>
      <c r="G34" s="642"/>
      <c r="H34" s="642"/>
      <c r="I34" s="642"/>
      <c r="J34" s="642"/>
      <c r="K34" s="642"/>
      <c r="L34" s="642"/>
      <c r="M34" s="642"/>
      <c r="N34" s="642"/>
      <c r="O34" s="482" t="s">
        <v>291</v>
      </c>
      <c r="P34" s="483"/>
      <c r="Q34" s="483"/>
      <c r="R34" s="483"/>
      <c r="S34" s="483"/>
      <c r="T34" s="553"/>
      <c r="U34" s="482"/>
      <c r="V34" s="483"/>
      <c r="W34" s="553"/>
      <c r="X34" s="474" t="s">
        <v>450</v>
      </c>
      <c r="Y34" s="475"/>
      <c r="Z34" s="547" t="s">
        <v>449</v>
      </c>
      <c r="AA34" s="474"/>
      <c r="AB34" s="474"/>
      <c r="AC34" s="547"/>
      <c r="AD34" s="474"/>
      <c r="AE34" s="575" t="s">
        <v>369</v>
      </c>
      <c r="AF34" s="576"/>
      <c r="AG34" s="535"/>
      <c r="AH34" s="535"/>
      <c r="AI34" s="535"/>
      <c r="AJ34" s="535"/>
      <c r="AK34" s="535"/>
      <c r="AL34" s="535"/>
      <c r="AM34" s="535"/>
      <c r="AN34" s="535"/>
      <c r="AO34" s="805"/>
      <c r="AP34" s="715"/>
      <c r="AQ34" s="807"/>
      <c r="AR34" s="642"/>
    </row>
    <row r="35" spans="1:45" ht="28.5" customHeight="1" x14ac:dyDescent="0.25">
      <c r="A35" s="21"/>
      <c r="B35" s="670"/>
      <c r="C35" s="670"/>
      <c r="D35" s="670"/>
      <c r="E35" s="670"/>
      <c r="F35" s="642"/>
      <c r="G35" s="642"/>
      <c r="H35" s="642"/>
      <c r="I35" s="642"/>
      <c r="J35" s="642"/>
      <c r="K35" s="642"/>
      <c r="L35" s="642"/>
      <c r="M35" s="642"/>
      <c r="N35" s="642"/>
      <c r="O35" s="484" t="s">
        <v>69</v>
      </c>
      <c r="P35" s="637"/>
      <c r="Q35" s="637"/>
      <c r="R35" s="637"/>
      <c r="S35" s="637"/>
      <c r="T35" s="464"/>
      <c r="U35" s="484"/>
      <c r="V35" s="637"/>
      <c r="W35" s="464"/>
      <c r="X35" s="502" t="s">
        <v>64</v>
      </c>
      <c r="Y35" s="518"/>
      <c r="Z35" s="548" t="s">
        <v>64</v>
      </c>
      <c r="AA35" s="502"/>
      <c r="AB35" s="502"/>
      <c r="AC35" s="465"/>
      <c r="AD35" s="652"/>
      <c r="AE35" s="561" t="s">
        <v>356</v>
      </c>
      <c r="AF35" s="547" t="s">
        <v>353</v>
      </c>
      <c r="AG35" s="545" t="s">
        <v>359</v>
      </c>
      <c r="AH35" s="545"/>
      <c r="AI35" s="545"/>
      <c r="AJ35" s="545"/>
      <c r="AK35" s="545"/>
      <c r="AL35" s="545"/>
      <c r="AM35" s="545"/>
      <c r="AN35" s="545"/>
      <c r="AO35" s="546"/>
      <c r="AP35" s="688"/>
      <c r="AQ35" s="808"/>
      <c r="AR35" s="642"/>
    </row>
    <row r="36" spans="1:45" ht="21" customHeight="1" x14ac:dyDescent="0.25">
      <c r="A36" s="21"/>
      <c r="B36" s="670"/>
      <c r="C36" s="670"/>
      <c r="D36" s="670"/>
      <c r="E36" s="670"/>
      <c r="F36" s="642"/>
      <c r="G36" s="642"/>
      <c r="H36" s="642"/>
      <c r="I36" s="642"/>
      <c r="J36" s="642"/>
      <c r="K36" s="642"/>
      <c r="L36" s="642"/>
      <c r="M36" s="642"/>
      <c r="N36" s="642"/>
      <c r="O36" s="440" t="s">
        <v>260</v>
      </c>
      <c r="P36" s="638" t="s">
        <v>257</v>
      </c>
      <c r="Q36" s="639" t="s">
        <v>256</v>
      </c>
      <c r="R36" s="640" t="s">
        <v>248</v>
      </c>
      <c r="S36" s="639" t="s">
        <v>258</v>
      </c>
      <c r="T36" s="366"/>
      <c r="U36" s="484"/>
      <c r="V36" s="637"/>
      <c r="W36" s="464"/>
      <c r="X36" s="700">
        <f>'Kat. 1 U-Wert'!F85</f>
        <v>1</v>
      </c>
      <c r="Y36" s="701"/>
      <c r="Z36" s="699">
        <f>Z18</f>
        <v>2</v>
      </c>
      <c r="AA36" s="563"/>
      <c r="AB36" s="563"/>
      <c r="AC36" s="465"/>
      <c r="AD36" s="652"/>
      <c r="AE36" s="562"/>
      <c r="AF36" s="548"/>
      <c r="AG36" s="545"/>
      <c r="AH36" s="545"/>
      <c r="AI36" s="545"/>
      <c r="AJ36" s="545"/>
      <c r="AK36" s="545"/>
      <c r="AL36" s="545"/>
      <c r="AM36" s="545"/>
      <c r="AN36" s="545"/>
      <c r="AO36" s="546"/>
      <c r="AP36" s="688"/>
      <c r="AQ36" s="808"/>
      <c r="AR36" s="642"/>
    </row>
    <row r="37" spans="1:45" ht="30.75" customHeight="1" x14ac:dyDescent="0.25">
      <c r="A37" s="21"/>
      <c r="B37" s="670"/>
      <c r="C37" s="670"/>
      <c r="D37" s="670"/>
      <c r="E37" s="670"/>
      <c r="F37" s="642"/>
      <c r="G37" s="642"/>
      <c r="H37" s="642"/>
      <c r="I37" s="642"/>
      <c r="J37" s="642"/>
      <c r="K37" s="642"/>
      <c r="L37" s="642"/>
      <c r="M37" s="642"/>
      <c r="N37" s="642"/>
      <c r="O37" s="441">
        <f>Q37*S37</f>
        <v>0</v>
      </c>
      <c r="P37" s="638" t="s">
        <v>257</v>
      </c>
      <c r="Q37" s="702">
        <f>X36</f>
        <v>1</v>
      </c>
      <c r="R37" s="640" t="s">
        <v>248</v>
      </c>
      <c r="S37" s="703">
        <f>Z16</f>
        <v>0</v>
      </c>
      <c r="T37" s="216"/>
      <c r="U37" s="484"/>
      <c r="V37" s="637"/>
      <c r="W37" s="464"/>
      <c r="X37" s="550" t="s">
        <v>456</v>
      </c>
      <c r="Y37" s="545"/>
      <c r="Z37" s="542" t="s">
        <v>454</v>
      </c>
      <c r="AA37" s="563"/>
      <c r="AB37" s="563"/>
      <c r="AC37" s="465"/>
      <c r="AD37" s="652"/>
      <c r="AE37" s="536" t="s">
        <v>357</v>
      </c>
      <c r="AF37" s="547" t="s">
        <v>358</v>
      </c>
      <c r="AG37" s="545" t="s">
        <v>360</v>
      </c>
      <c r="AH37" s="545"/>
      <c r="AI37" s="545"/>
      <c r="AJ37" s="545"/>
      <c r="AK37" s="545"/>
      <c r="AL37" s="545"/>
      <c r="AM37" s="545"/>
      <c r="AN37" s="545"/>
      <c r="AO37" s="546"/>
      <c r="AP37" s="688"/>
      <c r="AQ37" s="808"/>
      <c r="AR37" s="642"/>
    </row>
    <row r="38" spans="1:45" ht="15" customHeight="1" thickBot="1" x14ac:dyDescent="0.3">
      <c r="A38" s="21"/>
      <c r="B38" s="670"/>
      <c r="C38" s="670"/>
      <c r="D38" s="670"/>
      <c r="E38" s="670"/>
      <c r="F38" s="642"/>
      <c r="G38" s="642"/>
      <c r="H38" s="642"/>
      <c r="I38" s="642"/>
      <c r="J38" s="642"/>
      <c r="K38" s="642"/>
      <c r="L38" s="642"/>
      <c r="M38" s="642"/>
      <c r="N38" s="642"/>
      <c r="O38" s="440"/>
      <c r="P38" s="638"/>
      <c r="Q38" s="639"/>
      <c r="R38" s="640"/>
      <c r="S38" s="639"/>
      <c r="T38" s="216"/>
      <c r="U38" s="484"/>
      <c r="V38" s="637"/>
      <c r="W38" s="464"/>
      <c r="X38" s="639"/>
      <c r="Y38" s="653"/>
      <c r="Z38" s="653"/>
      <c r="AA38" s="653"/>
      <c r="AB38" s="653"/>
      <c r="AC38" s="465"/>
      <c r="AD38" s="652"/>
      <c r="AE38" s="704"/>
      <c r="AF38" s="461"/>
      <c r="AG38" s="557"/>
      <c r="AH38" s="557"/>
      <c r="AI38" s="557"/>
      <c r="AJ38" s="557"/>
      <c r="AK38" s="557"/>
      <c r="AL38" s="557"/>
      <c r="AM38" s="557"/>
      <c r="AN38" s="557"/>
      <c r="AO38" s="558"/>
      <c r="AP38" s="688"/>
      <c r="AQ38" s="808"/>
      <c r="AR38" s="642"/>
    </row>
    <row r="39" spans="1:45" ht="15.75" thickBot="1" x14ac:dyDescent="0.3">
      <c r="A39" s="21"/>
      <c r="B39" s="670"/>
      <c r="C39" s="670"/>
      <c r="D39" s="670"/>
      <c r="E39" s="670"/>
      <c r="F39" s="642"/>
      <c r="G39" s="642"/>
      <c r="H39" s="642"/>
      <c r="I39" s="642"/>
      <c r="J39" s="642"/>
      <c r="K39" s="642"/>
      <c r="L39" s="642"/>
      <c r="M39" s="642"/>
      <c r="N39" s="642"/>
      <c r="O39" s="802" t="s">
        <v>310</v>
      </c>
      <c r="P39" s="803"/>
      <c r="Q39" s="803"/>
      <c r="R39" s="803"/>
      <c r="S39" s="803"/>
      <c r="T39" s="803"/>
      <c r="U39" s="803"/>
      <c r="V39" s="803"/>
      <c r="W39" s="803"/>
      <c r="X39" s="803"/>
      <c r="Y39" s="803"/>
      <c r="Z39" s="803"/>
      <c r="AA39" s="803"/>
      <c r="AB39" s="803"/>
      <c r="AC39" s="803"/>
      <c r="AD39" s="803"/>
      <c r="AE39" s="803"/>
      <c r="AF39" s="803"/>
      <c r="AG39" s="803"/>
      <c r="AH39" s="803"/>
      <c r="AI39" s="803"/>
      <c r="AJ39" s="803"/>
      <c r="AK39" s="803"/>
      <c r="AL39" s="803"/>
      <c r="AM39" s="803"/>
      <c r="AN39" s="803"/>
      <c r="AO39" s="804"/>
      <c r="AP39" s="715"/>
      <c r="AQ39" s="807"/>
      <c r="AR39" s="642"/>
    </row>
    <row r="40" spans="1:45" ht="15.75" thickBot="1" x14ac:dyDescent="0.3">
      <c r="A40" s="24"/>
      <c r="B40" s="29"/>
      <c r="C40" s="29"/>
      <c r="D40" s="29"/>
      <c r="E40" s="29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6"/>
      <c r="AR40" s="642"/>
    </row>
    <row r="41" spans="1:45" x14ac:dyDescent="0.25">
      <c r="AR41" s="642"/>
    </row>
  </sheetData>
  <mergeCells count="84">
    <mergeCell ref="AG35:AO36"/>
    <mergeCell ref="AG37:AO38"/>
    <mergeCell ref="O39:AO39"/>
    <mergeCell ref="O32:AO32"/>
    <mergeCell ref="AF25:AF26"/>
    <mergeCell ref="AF27:AF28"/>
    <mergeCell ref="AF29:AF31"/>
    <mergeCell ref="AF35:AF36"/>
    <mergeCell ref="AF37:AF38"/>
    <mergeCell ref="AE34:AF34"/>
    <mergeCell ref="AG25:AO26"/>
    <mergeCell ref="AG27:AO28"/>
    <mergeCell ref="AG29:AO31"/>
    <mergeCell ref="X34:Y34"/>
    <mergeCell ref="X35:Y35"/>
    <mergeCell ref="X36:Y36"/>
    <mergeCell ref="X37:Y37"/>
    <mergeCell ref="U34:W38"/>
    <mergeCell ref="Z35:AB35"/>
    <mergeCell ref="Z36:AB36"/>
    <mergeCell ref="Z37:AB37"/>
    <mergeCell ref="AC34:AD38"/>
    <mergeCell ref="O35:T35"/>
    <mergeCell ref="AE35:AE36"/>
    <mergeCell ref="AE37:AE38"/>
    <mergeCell ref="Z34:AB34"/>
    <mergeCell ref="AA29:AB29"/>
    <mergeCell ref="AA30:AB30"/>
    <mergeCell ref="Z25:AB25"/>
    <mergeCell ref="Z26:AB26"/>
    <mergeCell ref="Z27:AB27"/>
    <mergeCell ref="AC24:AD24"/>
    <mergeCell ref="AC25:AD25"/>
    <mergeCell ref="AC26:AD26"/>
    <mergeCell ref="AC27:AD27"/>
    <mergeCell ref="U26:W26"/>
    <mergeCell ref="U27:W27"/>
    <mergeCell ref="X24:Y24"/>
    <mergeCell ref="X25:Y25"/>
    <mergeCell ref="X26:Y26"/>
    <mergeCell ref="X27:Y27"/>
    <mergeCell ref="X15:AB15"/>
    <mergeCell ref="X17:AB17"/>
    <mergeCell ref="AC15:AD20"/>
    <mergeCell ref="P14:AO14"/>
    <mergeCell ref="U24:W24"/>
    <mergeCell ref="Z24:AB24"/>
    <mergeCell ref="AE24:AF24"/>
    <mergeCell ref="AG24:AO24"/>
    <mergeCell ref="H3:O3"/>
    <mergeCell ref="H5:O5"/>
    <mergeCell ref="X3:AB3"/>
    <mergeCell ref="X5:AB5"/>
    <mergeCell ref="AE27:AE28"/>
    <mergeCell ref="U29:V29"/>
    <mergeCell ref="AE29:AE31"/>
    <mergeCell ref="U30:V30"/>
    <mergeCell ref="X29:Y29"/>
    <mergeCell ref="X30:Y30"/>
    <mergeCell ref="O25:T25"/>
    <mergeCell ref="AE25:AE26"/>
    <mergeCell ref="U25:W25"/>
    <mergeCell ref="AG8:AO8"/>
    <mergeCell ref="AG17:AK17"/>
    <mergeCell ref="AG34:AO34"/>
    <mergeCell ref="AR5:AR13"/>
    <mergeCell ref="AE22:AF22"/>
    <mergeCell ref="AG22:AO22"/>
    <mergeCell ref="AG6:AJ6"/>
    <mergeCell ref="AM6:AN6"/>
    <mergeCell ref="AG7:AJ7"/>
    <mergeCell ref="O34:T34"/>
    <mergeCell ref="O24:T24"/>
    <mergeCell ref="Z4:AA4"/>
    <mergeCell ref="P5:W5"/>
    <mergeCell ref="P15:W15"/>
    <mergeCell ref="AC3:AD13"/>
    <mergeCell ref="P3:W3"/>
    <mergeCell ref="AE2:AF2"/>
    <mergeCell ref="AG2:AO2"/>
    <mergeCell ref="AG18:AO18"/>
    <mergeCell ref="AG19:AO19"/>
    <mergeCell ref="AG20:AO20"/>
    <mergeCell ref="AM7:AN7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3157-1B96-4AAA-A21D-378F8DBD58C3}">
  <dimension ref="A1:AS28"/>
  <sheetViews>
    <sheetView topLeftCell="J13" zoomScaleNormal="100" workbookViewId="0">
      <selection activeCell="Z10" sqref="Z10"/>
    </sheetView>
  </sheetViews>
  <sheetFormatPr baseColWidth="10" defaultRowHeight="15" outlineLevelCol="1" x14ac:dyDescent="0.25"/>
  <cols>
    <col min="1" max="1" width="106" customWidth="1"/>
    <col min="2" max="3" width="19.28515625" style="28" customWidth="1" outlineLevel="1"/>
    <col min="4" max="5" width="18.85546875" style="28" customWidth="1" outlineLevel="1"/>
    <col min="6" max="6" width="18.85546875" customWidth="1" outlineLevel="1"/>
    <col min="7" max="7" width="28.42578125" customWidth="1" outlineLevel="1"/>
    <col min="8" max="8" width="6" customWidth="1" outlineLevel="1"/>
    <col min="9" max="9" width="2.140625" customWidth="1" outlineLevel="1"/>
    <col min="10" max="10" width="5" customWidth="1" outlineLevel="1"/>
    <col min="11" max="11" width="2.85546875" customWidth="1" outlineLevel="1"/>
    <col min="12" max="12" width="5.7109375" customWidth="1" outlineLevel="1"/>
    <col min="13" max="13" width="2.28515625" customWidth="1" outlineLevel="1"/>
    <col min="14" max="14" width="3.5703125" customWidth="1" outlineLevel="1"/>
    <col min="15" max="15" width="4.85546875" customWidth="1" outlineLevel="1"/>
    <col min="16" max="16" width="1.85546875" customWidth="1" outlineLevel="1"/>
    <col min="17" max="17" width="6.28515625" customWidth="1" outlineLevel="1"/>
    <col min="18" max="18" width="1.85546875" customWidth="1" outlineLevel="1"/>
    <col min="19" max="19" width="5.140625" customWidth="1" outlineLevel="1"/>
    <col min="20" max="20" width="1.7109375" customWidth="1" outlineLevel="1"/>
    <col min="21" max="21" width="6.5703125" customWidth="1" outlineLevel="1"/>
    <col min="22" max="22" width="1.42578125" customWidth="1" outlineLevel="1"/>
    <col min="23" max="23" width="5.85546875" customWidth="1" outlineLevel="1"/>
    <col min="24" max="24" width="8.140625" customWidth="1" outlineLevel="1"/>
    <col min="25" max="25" width="2.5703125" customWidth="1" outlineLevel="1"/>
    <col min="26" max="26" width="5.5703125" customWidth="1" outlineLevel="1"/>
    <col min="27" max="27" width="2.5703125" customWidth="1" outlineLevel="1"/>
    <col min="28" max="28" width="6.5703125" customWidth="1" outlineLevel="1"/>
    <col min="29" max="29" width="1.7109375" customWidth="1" outlineLevel="1"/>
    <col min="30" max="30" width="12.42578125" customWidth="1" outlineLevel="1"/>
    <col min="31" max="31" width="39.85546875" customWidth="1" outlineLevel="1"/>
    <col min="32" max="32" width="17.7109375" customWidth="1" outlineLevel="1"/>
    <col min="33" max="33" width="13.42578125" customWidth="1"/>
    <col min="34" max="34" width="2" customWidth="1"/>
    <col min="35" max="35" width="7.5703125" customWidth="1"/>
    <col min="36" max="36" width="2.7109375" customWidth="1"/>
    <col min="38" max="38" width="3.7109375" customWidth="1"/>
    <col min="39" max="39" width="12.28515625" customWidth="1"/>
    <col min="40" max="40" width="2.7109375" customWidth="1"/>
    <col min="41" max="41" width="13.140625" customWidth="1"/>
    <col min="42" max="42" width="2" customWidth="1"/>
    <col min="43" max="43" width="16.85546875" customWidth="1"/>
    <col min="44" max="44" width="19.5703125" customWidth="1"/>
  </cols>
  <sheetData>
    <row r="1" spans="1:45" ht="15.75" thickBot="1" x14ac:dyDescent="0.3"/>
    <row r="2" spans="1:45" ht="16.5" thickBot="1" x14ac:dyDescent="0.3">
      <c r="A2" s="21"/>
      <c r="B2" s="41"/>
      <c r="C2" s="44"/>
      <c r="D2" s="41"/>
      <c r="E2" s="41"/>
      <c r="F2" s="23"/>
      <c r="AE2" s="571" t="s">
        <v>0</v>
      </c>
      <c r="AF2" s="572"/>
      <c r="AG2" s="571" t="s">
        <v>1</v>
      </c>
      <c r="AH2" s="573"/>
      <c r="AI2" s="573"/>
      <c r="AJ2" s="573"/>
      <c r="AK2" s="573"/>
      <c r="AL2" s="573"/>
      <c r="AM2" s="573"/>
      <c r="AN2" s="573"/>
      <c r="AO2" s="572"/>
    </row>
    <row r="3" spans="1:45" ht="25.5" customHeight="1" x14ac:dyDescent="0.25">
      <c r="A3" s="21"/>
      <c r="B3" s="34" t="s">
        <v>84</v>
      </c>
      <c r="C3" s="49" t="s">
        <v>53</v>
      </c>
      <c r="D3" s="34" t="s">
        <v>52</v>
      </c>
      <c r="E3" s="50" t="s">
        <v>50</v>
      </c>
      <c r="F3" s="17"/>
      <c r="G3" s="287" t="s">
        <v>60</v>
      </c>
      <c r="H3" s="482" t="s">
        <v>267</v>
      </c>
      <c r="I3" s="483"/>
      <c r="J3" s="483"/>
      <c r="K3" s="483"/>
      <c r="L3" s="483"/>
      <c r="M3" s="483"/>
      <c r="N3" s="483"/>
      <c r="O3" s="553"/>
      <c r="P3" s="451" t="s">
        <v>65</v>
      </c>
      <c r="Q3" s="451"/>
      <c r="R3" s="451"/>
      <c r="S3" s="451"/>
      <c r="T3" s="451"/>
      <c r="U3" s="451"/>
      <c r="V3" s="451"/>
      <c r="W3" s="452"/>
      <c r="X3" s="451" t="s">
        <v>247</v>
      </c>
      <c r="Y3" s="451"/>
      <c r="Z3" s="451"/>
      <c r="AA3" s="451"/>
      <c r="AB3" s="452"/>
      <c r="AC3" s="450"/>
      <c r="AD3" s="452"/>
      <c r="AE3" s="446" t="s">
        <v>373</v>
      </c>
      <c r="AF3" s="492"/>
      <c r="AG3" s="145" t="s">
        <v>122</v>
      </c>
      <c r="AH3" s="218"/>
      <c r="AI3" s="218"/>
      <c r="AJ3" s="218"/>
      <c r="AK3" s="220" t="s">
        <v>261</v>
      </c>
      <c r="AL3" s="218"/>
      <c r="AM3" s="349">
        <v>70</v>
      </c>
      <c r="AN3" s="218" t="s">
        <v>62</v>
      </c>
      <c r="AO3" s="219"/>
    </row>
    <row r="4" spans="1:45" ht="19.5" customHeight="1" x14ac:dyDescent="0.25">
      <c r="A4" s="21"/>
      <c r="B4" s="41"/>
      <c r="C4" s="41"/>
      <c r="D4" s="41"/>
      <c r="E4" s="41"/>
      <c r="F4" s="30"/>
      <c r="G4" s="216" t="s">
        <v>80</v>
      </c>
      <c r="H4" s="203"/>
      <c r="I4" s="53"/>
      <c r="J4" s="53"/>
      <c r="K4" s="53"/>
      <c r="L4" s="53"/>
      <c r="M4" s="53"/>
      <c r="N4" s="53"/>
      <c r="O4" s="366"/>
      <c r="P4" s="53"/>
      <c r="Q4" s="23"/>
      <c r="R4" s="23"/>
      <c r="S4" s="23"/>
      <c r="T4" s="23"/>
      <c r="U4" s="23"/>
      <c r="V4" s="23"/>
      <c r="W4" s="212"/>
      <c r="X4" s="304" t="s">
        <v>364</v>
      </c>
      <c r="Y4" s="288" t="s">
        <v>257</v>
      </c>
      <c r="Z4" s="23">
        <f>AM3</f>
        <v>70</v>
      </c>
      <c r="AA4" s="23"/>
      <c r="AB4" s="212"/>
      <c r="AC4" s="453"/>
      <c r="AD4" s="455"/>
      <c r="AE4" s="527"/>
      <c r="AF4" s="574"/>
      <c r="AG4" s="81"/>
      <c r="AH4" s="11"/>
      <c r="AI4" s="221"/>
      <c r="AJ4" s="11"/>
      <c r="AK4" s="11"/>
      <c r="AL4" s="11"/>
      <c r="AM4" s="222"/>
      <c r="AN4" s="11"/>
      <c r="AO4" s="67"/>
    </row>
    <row r="5" spans="1:45" ht="18.75" customHeight="1" x14ac:dyDescent="0.25">
      <c r="A5" s="21"/>
      <c r="F5" s="8"/>
      <c r="G5" s="2"/>
      <c r="H5" s="484" t="s">
        <v>246</v>
      </c>
      <c r="I5" s="454"/>
      <c r="J5" s="454"/>
      <c r="K5" s="454"/>
      <c r="L5" s="454"/>
      <c r="M5" s="454"/>
      <c r="N5" s="454"/>
      <c r="O5" s="464"/>
      <c r="P5" s="454" t="s">
        <v>69</v>
      </c>
      <c r="Q5" s="454"/>
      <c r="R5" s="454"/>
      <c r="S5" s="454"/>
      <c r="T5" s="454"/>
      <c r="U5" s="454"/>
      <c r="V5" s="454"/>
      <c r="W5" s="455"/>
      <c r="X5" s="483" t="s">
        <v>116</v>
      </c>
      <c r="Y5" s="483"/>
      <c r="Z5" s="483"/>
      <c r="AA5" s="483"/>
      <c r="AB5" s="505"/>
      <c r="AC5" s="453"/>
      <c r="AD5" s="455"/>
      <c r="AE5" s="529" t="s">
        <v>361</v>
      </c>
      <c r="AF5" s="511"/>
      <c r="AG5" s="529" t="s">
        <v>123</v>
      </c>
      <c r="AH5" s="510"/>
      <c r="AI5" s="510"/>
      <c r="AJ5" s="510"/>
      <c r="AK5" s="510"/>
      <c r="AL5" s="510"/>
      <c r="AM5" s="510"/>
      <c r="AN5" s="510"/>
      <c r="AO5" s="511"/>
    </row>
    <row r="6" spans="1:45" ht="18" customHeight="1" x14ac:dyDescent="0.25">
      <c r="A6" s="21"/>
      <c r="F6" s="8"/>
      <c r="G6" s="2"/>
      <c r="H6" s="215"/>
      <c r="I6" s="23"/>
      <c r="J6" s="23"/>
      <c r="K6" s="23"/>
      <c r="L6" s="23"/>
      <c r="M6" s="23"/>
      <c r="N6" s="23"/>
      <c r="O6" s="216"/>
      <c r="P6" s="23"/>
      <c r="Q6" s="304" t="s">
        <v>260</v>
      </c>
      <c r="R6" s="224" t="s">
        <v>257</v>
      </c>
      <c r="S6" s="53" t="s">
        <v>256</v>
      </c>
      <c r="T6" s="225" t="s">
        <v>248</v>
      </c>
      <c r="U6" s="303" t="s">
        <v>258</v>
      </c>
      <c r="W6" s="22"/>
      <c r="X6" s="304" t="s">
        <v>256</v>
      </c>
      <c r="Y6" s="305" t="s">
        <v>257</v>
      </c>
      <c r="Z6" s="305" t="s">
        <v>290</v>
      </c>
      <c r="AA6" s="53" t="s">
        <v>250</v>
      </c>
      <c r="AB6" s="204" t="s">
        <v>288</v>
      </c>
      <c r="AC6" s="453"/>
      <c r="AD6" s="455"/>
      <c r="AE6" s="70" t="s">
        <v>385</v>
      </c>
      <c r="AF6" s="22"/>
      <c r="AG6" s="456" t="str">
        <f>'Kat. 1 U-Wert'!B9</f>
        <v>Massive Decke</v>
      </c>
      <c r="AH6" s="444"/>
      <c r="AI6" s="444"/>
      <c r="AJ6" s="444"/>
      <c r="AK6" s="444"/>
      <c r="AL6" s="444" t="s">
        <v>381</v>
      </c>
      <c r="AM6" s="444"/>
      <c r="AN6" s="444"/>
      <c r="AO6" s="530">
        <f>'Kat. 1 U-Wert'!F10</f>
        <v>0.7</v>
      </c>
    </row>
    <row r="7" spans="1:45" ht="18" customHeight="1" x14ac:dyDescent="0.25">
      <c r="A7" s="21"/>
      <c r="F7" s="8"/>
      <c r="G7" s="2"/>
      <c r="H7" s="215"/>
      <c r="I7" s="23"/>
      <c r="J7" s="23"/>
      <c r="K7" s="23"/>
      <c r="L7" s="23"/>
      <c r="M7" s="23"/>
      <c r="N7" s="23"/>
      <c r="O7" s="216"/>
      <c r="P7" s="23"/>
      <c r="Q7" s="354">
        <f>S7*U7</f>
        <v>49</v>
      </c>
      <c r="R7" s="224" t="s">
        <v>257</v>
      </c>
      <c r="S7" s="355">
        <f>X7</f>
        <v>0.7</v>
      </c>
      <c r="T7" s="225" t="s">
        <v>248</v>
      </c>
      <c r="U7" s="303">
        <f>Z4</f>
        <v>70</v>
      </c>
      <c r="W7" s="22"/>
      <c r="X7" s="422">
        <f>Z7/AB7</f>
        <v>0.7</v>
      </c>
      <c r="Y7" s="305" t="s">
        <v>257</v>
      </c>
      <c r="Z7" s="262">
        <v>1</v>
      </c>
      <c r="AA7" s="53" t="s">
        <v>250</v>
      </c>
      <c r="AB7" s="347">
        <f>AK14+AM14</f>
        <v>1.4285714285714286</v>
      </c>
      <c r="AC7" s="453"/>
      <c r="AD7" s="455"/>
      <c r="AE7" s="79" t="str">
        <f>'Kat. 1 U-Wert'!B9</f>
        <v>Massive Decke</v>
      </c>
      <c r="AF7" s="103" t="s">
        <v>379</v>
      </c>
      <c r="AG7" s="456" t="str">
        <f>'Kat. 1 U-Wert'!B10</f>
        <v>Holzbalkendecke</v>
      </c>
      <c r="AH7" s="444"/>
      <c r="AI7" s="444"/>
      <c r="AJ7" s="444"/>
      <c r="AK7" s="444"/>
      <c r="AL7" s="444" t="s">
        <v>381</v>
      </c>
      <c r="AM7" s="444"/>
      <c r="AN7" s="444"/>
      <c r="AO7" s="530"/>
    </row>
    <row r="8" spans="1:45" ht="18" customHeight="1" thickBot="1" x14ac:dyDescent="0.3">
      <c r="A8" s="21"/>
      <c r="F8" s="18"/>
      <c r="G8" s="4"/>
      <c r="H8" s="136"/>
      <c r="I8" s="149"/>
      <c r="J8" s="149"/>
      <c r="K8" s="149"/>
      <c r="L8" s="149"/>
      <c r="M8" s="149"/>
      <c r="N8" s="149"/>
      <c r="O8" s="438"/>
      <c r="P8" s="264"/>
      <c r="Q8" s="178"/>
      <c r="R8" s="178"/>
      <c r="S8" s="178"/>
      <c r="T8" s="178"/>
      <c r="U8" s="178"/>
      <c r="V8" s="178"/>
      <c r="W8" s="266"/>
      <c r="X8" s="423"/>
      <c r="Y8" s="280"/>
      <c r="Z8" s="178"/>
      <c r="AA8" s="178"/>
      <c r="AB8" s="266"/>
      <c r="AC8" s="458"/>
      <c r="AD8" s="570"/>
      <c r="AE8" s="267" t="str">
        <f>'Kat. 1 U-Wert'!B10</f>
        <v>Holzbalkendecke</v>
      </c>
      <c r="AF8" s="273" t="s">
        <v>380</v>
      </c>
      <c r="AG8" s="456" t="s">
        <v>111</v>
      </c>
      <c r="AH8" s="444"/>
      <c r="AI8" s="444"/>
      <c r="AJ8" s="444"/>
      <c r="AK8" s="227">
        <v>0</v>
      </c>
      <c r="AL8" s="15" t="s">
        <v>252</v>
      </c>
      <c r="AM8" s="16" t="s">
        <v>254</v>
      </c>
      <c r="AN8" s="16"/>
      <c r="AO8" s="335">
        <v>3.2000000000000001E-2</v>
      </c>
    </row>
    <row r="9" spans="1:45" ht="18" x14ac:dyDescent="0.25">
      <c r="A9" s="21"/>
      <c r="H9" s="53"/>
      <c r="I9" s="53"/>
      <c r="J9" s="53"/>
      <c r="K9" s="53"/>
      <c r="L9" s="53"/>
      <c r="M9" s="53"/>
      <c r="N9" s="53"/>
      <c r="O9" s="53"/>
      <c r="P9" s="53"/>
      <c r="AG9" s="301" t="s">
        <v>429</v>
      </c>
      <c r="AH9" s="234" t="s">
        <v>257</v>
      </c>
      <c r="AI9" s="235" t="s">
        <v>284</v>
      </c>
      <c r="AJ9" s="234" t="s">
        <v>255</v>
      </c>
      <c r="AK9" s="55" t="s">
        <v>249</v>
      </c>
      <c r="AL9" s="55" t="s">
        <v>250</v>
      </c>
      <c r="AM9" s="55" t="s">
        <v>287</v>
      </c>
      <c r="AN9" s="255" t="s">
        <v>255</v>
      </c>
      <c r="AO9" s="336" t="s">
        <v>285</v>
      </c>
      <c r="AP9" s="248"/>
    </row>
    <row r="10" spans="1:45" x14ac:dyDescent="0.25">
      <c r="A10" s="21"/>
      <c r="AG10" s="339">
        <f>AI10+(AK10/AM10)+AO10</f>
        <v>0</v>
      </c>
      <c r="AH10" s="238" t="s">
        <v>257</v>
      </c>
      <c r="AI10" s="239">
        <f>IF(AK8&gt;0,'Kat. 1 U-Wert'!C48,0)</f>
        <v>0</v>
      </c>
      <c r="AJ10" s="240" t="s">
        <v>255</v>
      </c>
      <c r="AK10" s="239">
        <f>AK8</f>
        <v>0</v>
      </c>
      <c r="AL10" s="89" t="s">
        <v>250</v>
      </c>
      <c r="AM10" s="241">
        <f>AO8</f>
        <v>3.2000000000000001E-2</v>
      </c>
      <c r="AN10" s="238" t="s">
        <v>255</v>
      </c>
      <c r="AO10" s="337">
        <f>IF(AK8&gt;0,'Kat. 1 U-Wert'!C49,0)</f>
        <v>0</v>
      </c>
      <c r="AP10" s="232"/>
      <c r="AQ10" s="249"/>
    </row>
    <row r="11" spans="1:45" ht="18" x14ac:dyDescent="0.25">
      <c r="A11" s="21"/>
      <c r="AG11" s="301" t="s">
        <v>428</v>
      </c>
      <c r="AH11" s="255" t="s">
        <v>257</v>
      </c>
      <c r="AI11" s="55">
        <v>1</v>
      </c>
      <c r="AJ11" s="55" t="s">
        <v>250</v>
      </c>
      <c r="AK11" s="442" t="s">
        <v>381</v>
      </c>
      <c r="AL11" s="442"/>
      <c r="AM11" s="442"/>
      <c r="AN11" s="58"/>
      <c r="AO11" s="336"/>
    </row>
    <row r="12" spans="1:45" x14ac:dyDescent="0.25">
      <c r="A12" s="21"/>
      <c r="AG12" s="340">
        <f>AI12/AK12</f>
        <v>1.4285714285714286</v>
      </c>
      <c r="AH12" s="238" t="s">
        <v>257</v>
      </c>
      <c r="AI12" s="89">
        <v>1</v>
      </c>
      <c r="AJ12" s="89" t="s">
        <v>250</v>
      </c>
      <c r="AK12" s="443">
        <f>AO6</f>
        <v>0.7</v>
      </c>
      <c r="AL12" s="443"/>
      <c r="AM12" s="443"/>
      <c r="AN12" s="59"/>
      <c r="AO12" s="338"/>
    </row>
    <row r="13" spans="1:45" ht="18" x14ac:dyDescent="0.25">
      <c r="A13" s="21"/>
      <c r="AG13" s="301" t="s">
        <v>427</v>
      </c>
      <c r="AH13" s="255" t="s">
        <v>257</v>
      </c>
      <c r="AI13" s="55"/>
      <c r="AJ13" s="55"/>
      <c r="AK13" s="55" t="s">
        <v>430</v>
      </c>
      <c r="AL13" s="342" t="s">
        <v>255</v>
      </c>
      <c r="AM13" s="55" t="s">
        <v>431</v>
      </c>
      <c r="AN13" s="58"/>
      <c r="AO13" s="336"/>
      <c r="AR13" s="642"/>
      <c r="AS13" s="642"/>
    </row>
    <row r="14" spans="1:45" x14ac:dyDescent="0.25">
      <c r="A14" s="21"/>
      <c r="AG14" s="346">
        <f>AK14+AM14</f>
        <v>1.4285714285714286</v>
      </c>
      <c r="AH14" s="238" t="s">
        <v>257</v>
      </c>
      <c r="AI14" s="89"/>
      <c r="AJ14" s="89"/>
      <c r="AK14" s="343">
        <f>AG12</f>
        <v>1.4285714285714286</v>
      </c>
      <c r="AL14" s="344" t="s">
        <v>255</v>
      </c>
      <c r="AM14" s="345">
        <f>AG10</f>
        <v>0</v>
      </c>
      <c r="AN14" s="59"/>
      <c r="AO14" s="338"/>
      <c r="AR14" s="642"/>
      <c r="AS14" s="642"/>
    </row>
    <row r="15" spans="1:45" ht="15.75" thickBot="1" x14ac:dyDescent="0.3">
      <c r="A15" s="21"/>
      <c r="AR15" s="642"/>
      <c r="AS15" s="642"/>
    </row>
    <row r="16" spans="1:45" ht="19.5" thickBot="1" x14ac:dyDescent="0.35">
      <c r="A16" s="51" t="s">
        <v>85</v>
      </c>
      <c r="B16" s="27"/>
      <c r="C16" s="27"/>
      <c r="D16" s="27"/>
      <c r="E16" s="27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20"/>
      <c r="AR16" s="642"/>
      <c r="AS16" s="642"/>
    </row>
    <row r="17" spans="1:45" ht="31.5" customHeight="1" x14ac:dyDescent="0.25">
      <c r="A17" s="21"/>
      <c r="B17" s="670"/>
      <c r="C17" s="670"/>
      <c r="D17" s="670"/>
      <c r="E17" s="670"/>
      <c r="F17" s="642"/>
      <c r="G17" s="642"/>
      <c r="H17" s="642"/>
      <c r="I17" s="642"/>
      <c r="J17" s="642"/>
      <c r="K17" s="642"/>
      <c r="L17" s="642"/>
      <c r="M17" s="642"/>
      <c r="N17" s="642"/>
      <c r="O17" s="482" t="s">
        <v>382</v>
      </c>
      <c r="P17" s="483"/>
      <c r="Q17" s="483"/>
      <c r="R17" s="483"/>
      <c r="S17" s="483"/>
      <c r="T17" s="553"/>
      <c r="U17" s="568" t="s">
        <v>455</v>
      </c>
      <c r="V17" s="568"/>
      <c r="W17" s="568"/>
      <c r="X17" s="547" t="s">
        <v>450</v>
      </c>
      <c r="Y17" s="475"/>
      <c r="Z17" s="547" t="s">
        <v>449</v>
      </c>
      <c r="AA17" s="474"/>
      <c r="AB17" s="475"/>
      <c r="AC17" s="547" t="s">
        <v>451</v>
      </c>
      <c r="AD17" s="474"/>
      <c r="AE17" s="575" t="s">
        <v>376</v>
      </c>
      <c r="AF17" s="576"/>
      <c r="AG17" s="577"/>
      <c r="AH17" s="656"/>
      <c r="AI17" s="578"/>
      <c r="AJ17" s="578"/>
      <c r="AK17" s="578"/>
      <c r="AL17" s="578"/>
      <c r="AM17" s="578"/>
      <c r="AN17" s="578"/>
      <c r="AO17" s="579"/>
      <c r="AP17" s="715"/>
      <c r="AQ17" s="807"/>
      <c r="AR17" s="642"/>
      <c r="AS17" s="642"/>
    </row>
    <row r="18" spans="1:45" ht="25.5" customHeight="1" x14ac:dyDescent="0.25">
      <c r="A18" s="21"/>
      <c r="B18" s="670"/>
      <c r="C18" s="670"/>
      <c r="D18" s="670"/>
      <c r="E18" s="670"/>
      <c r="F18" s="642"/>
      <c r="G18" s="642"/>
      <c r="H18" s="642"/>
      <c r="I18" s="642"/>
      <c r="J18" s="642"/>
      <c r="K18" s="642"/>
      <c r="L18" s="642"/>
      <c r="M18" s="642"/>
      <c r="N18" s="642"/>
      <c r="O18" s="484" t="s">
        <v>69</v>
      </c>
      <c r="P18" s="637"/>
      <c r="Q18" s="637"/>
      <c r="R18" s="637"/>
      <c r="S18" s="637"/>
      <c r="T18" s="464"/>
      <c r="U18" s="560" t="s">
        <v>252</v>
      </c>
      <c r="V18" s="560"/>
      <c r="W18" s="560"/>
      <c r="X18" s="548" t="s">
        <v>64</v>
      </c>
      <c r="Y18" s="518"/>
      <c r="Z18" s="548" t="s">
        <v>64</v>
      </c>
      <c r="AA18" s="502"/>
      <c r="AB18" s="518"/>
      <c r="AC18" s="548" t="s">
        <v>452</v>
      </c>
      <c r="AD18" s="502"/>
      <c r="AE18" s="561" t="s">
        <v>383</v>
      </c>
      <c r="AF18" s="547" t="s">
        <v>353</v>
      </c>
      <c r="AG18" s="475"/>
      <c r="AH18" s="482" t="s">
        <v>389</v>
      </c>
      <c r="AI18" s="483"/>
      <c r="AJ18" s="483"/>
      <c r="AK18" s="483"/>
      <c r="AL18" s="483"/>
      <c r="AM18" s="483"/>
      <c r="AN18" s="483"/>
      <c r="AO18" s="505"/>
      <c r="AP18" s="688"/>
      <c r="AQ18" s="808"/>
      <c r="AR18" s="642"/>
      <c r="AS18" s="642"/>
    </row>
    <row r="19" spans="1:45" ht="24" customHeight="1" x14ac:dyDescent="0.25">
      <c r="A19" s="21"/>
      <c r="B19" s="670"/>
      <c r="C19" s="670"/>
      <c r="D19" s="670"/>
      <c r="E19" s="670"/>
      <c r="F19" s="642"/>
      <c r="G19" s="642"/>
      <c r="H19" s="642"/>
      <c r="I19" s="642"/>
      <c r="J19" s="642"/>
      <c r="K19" s="642"/>
      <c r="L19" s="642"/>
      <c r="M19" s="642"/>
      <c r="N19" s="642"/>
      <c r="O19" s="440" t="s">
        <v>260</v>
      </c>
      <c r="P19" s="638" t="s">
        <v>257</v>
      </c>
      <c r="Q19" s="639" t="s">
        <v>256</v>
      </c>
      <c r="R19" s="640" t="s">
        <v>248</v>
      </c>
      <c r="S19" s="639" t="s">
        <v>258</v>
      </c>
      <c r="T19" s="366"/>
      <c r="U19" s="569">
        <f>ROUNDUP(U23,2)</f>
        <v>0.19</v>
      </c>
      <c r="V19" s="569"/>
      <c r="W19" s="569"/>
      <c r="X19" s="566">
        <f>'Kat. 1 U-Wert'!F95</f>
        <v>0.14000000000000001</v>
      </c>
      <c r="Y19" s="567"/>
      <c r="Z19" s="542">
        <f>X7</f>
        <v>0.7</v>
      </c>
      <c r="AA19" s="563"/>
      <c r="AB19" s="479"/>
      <c r="AC19" s="564">
        <f>AO8</f>
        <v>3.2000000000000001E-2</v>
      </c>
      <c r="AD19" s="565"/>
      <c r="AE19" s="562"/>
      <c r="AF19" s="548"/>
      <c r="AG19" s="518"/>
      <c r="AH19" s="485"/>
      <c r="AI19" s="486"/>
      <c r="AJ19" s="486"/>
      <c r="AK19" s="486"/>
      <c r="AL19" s="486"/>
      <c r="AM19" s="486"/>
      <c r="AN19" s="486"/>
      <c r="AO19" s="503"/>
      <c r="AP19" s="688"/>
      <c r="AQ19" s="808"/>
      <c r="AR19" s="642"/>
      <c r="AS19" s="642"/>
    </row>
    <row r="20" spans="1:45" ht="32.25" customHeight="1" x14ac:dyDescent="0.25">
      <c r="A20" s="21"/>
      <c r="B20" s="670"/>
      <c r="C20" s="670"/>
      <c r="D20" s="670"/>
      <c r="E20" s="670"/>
      <c r="F20" s="642"/>
      <c r="G20" s="642"/>
      <c r="H20" s="642"/>
      <c r="I20" s="642"/>
      <c r="J20" s="642"/>
      <c r="K20" s="642"/>
      <c r="L20" s="642"/>
      <c r="M20" s="642"/>
      <c r="N20" s="642"/>
      <c r="O20" s="663">
        <f>Q20*S20</f>
        <v>9.8000000000000007</v>
      </c>
      <c r="P20" s="638" t="s">
        <v>257</v>
      </c>
      <c r="Q20" s="641">
        <f>X19</f>
        <v>0.14000000000000001</v>
      </c>
      <c r="R20" s="640" t="s">
        <v>248</v>
      </c>
      <c r="S20" s="639">
        <f>Z4</f>
        <v>70</v>
      </c>
      <c r="T20" s="216"/>
      <c r="U20" s="560" t="s">
        <v>457</v>
      </c>
      <c r="V20" s="560"/>
      <c r="W20" s="560"/>
      <c r="X20" s="485" t="s">
        <v>456</v>
      </c>
      <c r="Y20" s="559"/>
      <c r="Z20" s="548" t="s">
        <v>454</v>
      </c>
      <c r="AA20" s="502"/>
      <c r="AB20" s="518"/>
      <c r="AC20" s="542" t="s">
        <v>453</v>
      </c>
      <c r="AD20" s="563"/>
      <c r="AE20" s="561" t="s">
        <v>384</v>
      </c>
      <c r="AF20" s="547" t="s">
        <v>367</v>
      </c>
      <c r="AG20" s="475"/>
      <c r="AH20" s="482" t="s">
        <v>390</v>
      </c>
      <c r="AI20" s="483"/>
      <c r="AJ20" s="483"/>
      <c r="AK20" s="483"/>
      <c r="AL20" s="483"/>
      <c r="AM20" s="483"/>
      <c r="AN20" s="483"/>
      <c r="AO20" s="505"/>
      <c r="AP20" s="688"/>
      <c r="AQ20" s="808"/>
      <c r="AR20" s="642"/>
      <c r="AS20" s="642"/>
    </row>
    <row r="21" spans="1:45" ht="18" customHeight="1" x14ac:dyDescent="0.25">
      <c r="A21" s="21"/>
      <c r="B21" s="670"/>
      <c r="C21" s="670"/>
      <c r="D21" s="670"/>
      <c r="E21" s="670"/>
      <c r="F21" s="642"/>
      <c r="G21" s="642"/>
      <c r="H21" s="642"/>
      <c r="I21" s="642"/>
      <c r="J21" s="642"/>
      <c r="K21" s="642"/>
      <c r="L21" s="642"/>
      <c r="M21" s="642"/>
      <c r="N21" s="642"/>
      <c r="O21" s="1"/>
      <c r="P21" s="642"/>
      <c r="Q21" s="643"/>
      <c r="R21" s="643"/>
      <c r="S21" s="643"/>
      <c r="T21" s="216"/>
      <c r="U21" s="163"/>
      <c r="V21" s="163"/>
      <c r="W21" s="163"/>
      <c r="X21" s="163"/>
      <c r="Y21" s="163"/>
      <c r="Z21" s="54"/>
      <c r="AA21" s="54"/>
      <c r="AB21" s="54"/>
      <c r="AC21" s="54"/>
      <c r="AD21" s="54"/>
      <c r="AE21" s="562"/>
      <c r="AF21" s="548"/>
      <c r="AG21" s="518"/>
      <c r="AH21" s="485"/>
      <c r="AI21" s="486"/>
      <c r="AJ21" s="486"/>
      <c r="AK21" s="486"/>
      <c r="AL21" s="486"/>
      <c r="AM21" s="486"/>
      <c r="AN21" s="486"/>
      <c r="AO21" s="503"/>
      <c r="AP21" s="688"/>
      <c r="AQ21" s="808"/>
      <c r="AR21" s="642"/>
      <c r="AS21" s="642"/>
    </row>
    <row r="22" spans="1:45" ht="18" customHeight="1" x14ac:dyDescent="0.25">
      <c r="A22" s="21"/>
      <c r="B22" s="670"/>
      <c r="C22" s="670"/>
      <c r="D22" s="670"/>
      <c r="E22" s="670"/>
      <c r="F22" s="642"/>
      <c r="G22" s="642"/>
      <c r="H22" s="642"/>
      <c r="I22" s="642"/>
      <c r="J22" s="642"/>
      <c r="K22" s="642"/>
      <c r="L22" s="642"/>
      <c r="M22" s="642"/>
      <c r="N22" s="642"/>
      <c r="O22" s="1"/>
      <c r="P22" s="642"/>
      <c r="Q22" s="639"/>
      <c r="R22" s="639"/>
      <c r="S22" s="639"/>
      <c r="T22" s="366"/>
      <c r="U22" s="483" t="s">
        <v>445</v>
      </c>
      <c r="V22" s="483"/>
      <c r="W22" s="261" t="s">
        <v>257</v>
      </c>
      <c r="X22" s="483" t="s">
        <v>446</v>
      </c>
      <c r="Y22" s="483"/>
      <c r="Z22" s="261" t="s">
        <v>188</v>
      </c>
      <c r="AA22" s="483" t="s">
        <v>447</v>
      </c>
      <c r="AB22" s="483"/>
      <c r="AC22" s="261" t="s">
        <v>248</v>
      </c>
      <c r="AD22" s="56" t="s">
        <v>448</v>
      </c>
      <c r="AE22" s="554" t="s">
        <v>393</v>
      </c>
      <c r="AF22" s="480" t="s">
        <v>354</v>
      </c>
      <c r="AG22" s="480"/>
      <c r="AH22" s="482" t="s">
        <v>390</v>
      </c>
      <c r="AI22" s="483"/>
      <c r="AJ22" s="483"/>
      <c r="AK22" s="483"/>
      <c r="AL22" s="483"/>
      <c r="AM22" s="483"/>
      <c r="AN22" s="483"/>
      <c r="AO22" s="505"/>
      <c r="AP22" s="688"/>
      <c r="AQ22" s="808"/>
      <c r="AR22" s="642"/>
      <c r="AS22" s="642"/>
    </row>
    <row r="23" spans="1:45" ht="17.25" customHeight="1" x14ac:dyDescent="0.25">
      <c r="A23" s="21"/>
      <c r="B23" s="670"/>
      <c r="C23" s="670"/>
      <c r="D23" s="670"/>
      <c r="E23" s="670"/>
      <c r="F23" s="642"/>
      <c r="G23" s="642"/>
      <c r="H23" s="642"/>
      <c r="I23" s="642"/>
      <c r="J23" s="642"/>
      <c r="K23" s="642"/>
      <c r="L23" s="642"/>
      <c r="M23" s="642"/>
      <c r="N23" s="642"/>
      <c r="O23" s="1"/>
      <c r="P23" s="642"/>
      <c r="Q23" s="639"/>
      <c r="R23" s="639"/>
      <c r="S23" s="639"/>
      <c r="T23" s="366"/>
      <c r="U23" s="552">
        <f>(X23-AA23)*AD23</f>
        <v>0.18285714285714283</v>
      </c>
      <c r="V23" s="552"/>
      <c r="W23" s="288" t="s">
        <v>257</v>
      </c>
      <c r="X23" s="552">
        <f>1/X19</f>
        <v>7.1428571428571423</v>
      </c>
      <c r="Y23" s="552"/>
      <c r="Z23" s="288" t="s">
        <v>188</v>
      </c>
      <c r="AA23" s="552">
        <f>1/X7</f>
        <v>1.4285714285714286</v>
      </c>
      <c r="AB23" s="552"/>
      <c r="AC23" s="288" t="s">
        <v>248</v>
      </c>
      <c r="AD23" s="439">
        <f>AC19</f>
        <v>3.2000000000000001E-2</v>
      </c>
      <c r="AE23" s="554"/>
      <c r="AF23" s="480"/>
      <c r="AG23" s="480"/>
      <c r="AH23" s="484"/>
      <c r="AI23" s="637"/>
      <c r="AJ23" s="637"/>
      <c r="AK23" s="637"/>
      <c r="AL23" s="637"/>
      <c r="AM23" s="637"/>
      <c r="AN23" s="637"/>
      <c r="AO23" s="455"/>
      <c r="AP23" s="688"/>
      <c r="AQ23" s="808"/>
      <c r="AR23" s="642"/>
      <c r="AS23" s="642"/>
    </row>
    <row r="24" spans="1:45" ht="17.25" customHeight="1" thickBot="1" x14ac:dyDescent="0.3">
      <c r="A24" s="21"/>
      <c r="B24" s="670"/>
      <c r="C24" s="670"/>
      <c r="D24" s="670"/>
      <c r="E24" s="670"/>
      <c r="F24" s="642"/>
      <c r="G24" s="642"/>
      <c r="H24" s="642"/>
      <c r="I24" s="642"/>
      <c r="J24" s="642"/>
      <c r="K24" s="642"/>
      <c r="L24" s="642"/>
      <c r="M24" s="642"/>
      <c r="N24" s="642"/>
      <c r="O24" s="1"/>
      <c r="P24" s="642"/>
      <c r="Q24" s="639"/>
      <c r="R24" s="639"/>
      <c r="S24" s="639"/>
      <c r="T24" s="366"/>
      <c r="U24" s="56"/>
      <c r="V24" s="56"/>
      <c r="W24" s="56"/>
      <c r="X24" s="55"/>
      <c r="Y24" s="55"/>
      <c r="Z24" s="55"/>
      <c r="AA24" s="55"/>
      <c r="AB24" s="55"/>
      <c r="AC24" s="55"/>
      <c r="AD24" s="236"/>
      <c r="AE24" s="555"/>
      <c r="AF24" s="556"/>
      <c r="AG24" s="556"/>
      <c r="AH24" s="657"/>
      <c r="AI24" s="459"/>
      <c r="AJ24" s="459"/>
      <c r="AK24" s="459"/>
      <c r="AL24" s="459"/>
      <c r="AM24" s="459"/>
      <c r="AN24" s="459"/>
      <c r="AO24" s="570"/>
      <c r="AP24" s="688"/>
      <c r="AQ24" s="808"/>
      <c r="AR24" s="642"/>
      <c r="AS24" s="642"/>
    </row>
    <row r="25" spans="1:45" ht="16.5" customHeight="1" thickBot="1" x14ac:dyDescent="0.3">
      <c r="A25" s="21"/>
      <c r="B25" s="670"/>
      <c r="C25" s="670"/>
      <c r="D25" s="670"/>
      <c r="E25" s="670"/>
      <c r="F25" s="642"/>
      <c r="G25" s="642"/>
      <c r="H25" s="642"/>
      <c r="I25" s="642"/>
      <c r="J25" s="642"/>
      <c r="K25" s="642"/>
      <c r="L25" s="642"/>
      <c r="M25" s="642"/>
      <c r="N25" s="642"/>
      <c r="O25" s="802" t="s">
        <v>310</v>
      </c>
      <c r="P25" s="803"/>
      <c r="Q25" s="803"/>
      <c r="R25" s="803"/>
      <c r="S25" s="803"/>
      <c r="T25" s="803"/>
      <c r="U25" s="803"/>
      <c r="V25" s="803"/>
      <c r="W25" s="803"/>
      <c r="X25" s="803"/>
      <c r="Y25" s="803"/>
      <c r="Z25" s="803"/>
      <c r="AA25" s="803"/>
      <c r="AB25" s="803"/>
      <c r="AC25" s="803"/>
      <c r="AD25" s="803"/>
      <c r="AE25" s="803"/>
      <c r="AF25" s="803"/>
      <c r="AG25" s="803"/>
      <c r="AH25" s="803"/>
      <c r="AI25" s="803"/>
      <c r="AJ25" s="803"/>
      <c r="AK25" s="803"/>
      <c r="AL25" s="803"/>
      <c r="AM25" s="803"/>
      <c r="AN25" s="803"/>
      <c r="AO25" s="804"/>
      <c r="AP25" s="671"/>
      <c r="AQ25" s="674"/>
      <c r="AR25" s="642"/>
      <c r="AS25" s="642"/>
    </row>
    <row r="26" spans="1:45" ht="15.75" thickBot="1" x14ac:dyDescent="0.3">
      <c r="A26" s="24"/>
      <c r="B26" s="29"/>
      <c r="C26" s="29"/>
      <c r="D26" s="29"/>
      <c r="E26" s="29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6"/>
      <c r="AR26" s="642"/>
      <c r="AS26" s="642"/>
    </row>
    <row r="27" spans="1:45" x14ac:dyDescent="0.25">
      <c r="AR27" s="642"/>
      <c r="AS27" s="642"/>
    </row>
    <row r="28" spans="1:45" x14ac:dyDescent="0.25">
      <c r="AR28" s="642"/>
      <c r="AS28" s="642"/>
    </row>
  </sheetData>
  <mergeCells count="56">
    <mergeCell ref="O25:AO25"/>
    <mergeCell ref="AK11:AM11"/>
    <mergeCell ref="AK12:AM12"/>
    <mergeCell ref="AG6:AK6"/>
    <mergeCell ref="AL6:AN6"/>
    <mergeCell ref="AE18:AE19"/>
    <mergeCell ref="AF18:AG19"/>
    <mergeCell ref="AH17:AO17"/>
    <mergeCell ref="AH18:AO19"/>
    <mergeCell ref="X5:AB5"/>
    <mergeCell ref="AE5:AF5"/>
    <mergeCell ref="AG5:AO5"/>
    <mergeCell ref="AC3:AD8"/>
    <mergeCell ref="AE2:AF2"/>
    <mergeCell ref="AG2:AO2"/>
    <mergeCell ref="X3:AB3"/>
    <mergeCell ref="AE3:AF4"/>
    <mergeCell ref="AG7:AK7"/>
    <mergeCell ref="AG8:AJ8"/>
    <mergeCell ref="AL7:AN7"/>
    <mergeCell ref="AO6:AO7"/>
    <mergeCell ref="Z17:AB17"/>
    <mergeCell ref="X17:Y17"/>
    <mergeCell ref="X18:Y18"/>
    <mergeCell ref="X19:Y19"/>
    <mergeCell ref="AC17:AD17"/>
    <mergeCell ref="AE17:AG17"/>
    <mergeCell ref="Z18:AB18"/>
    <mergeCell ref="Z19:AB19"/>
    <mergeCell ref="Z20:AB20"/>
    <mergeCell ref="AC18:AD18"/>
    <mergeCell ref="AC19:AD19"/>
    <mergeCell ref="AF22:AG24"/>
    <mergeCell ref="X20:Y20"/>
    <mergeCell ref="U20:W20"/>
    <mergeCell ref="AE20:AE21"/>
    <mergeCell ref="AF20:AG21"/>
    <mergeCell ref="AC20:AD20"/>
    <mergeCell ref="AH20:AO21"/>
    <mergeCell ref="AH22:AO24"/>
    <mergeCell ref="AA22:AB22"/>
    <mergeCell ref="X22:Y22"/>
    <mergeCell ref="AA23:AB23"/>
    <mergeCell ref="X23:Y23"/>
    <mergeCell ref="AE22:AE24"/>
    <mergeCell ref="U22:V22"/>
    <mergeCell ref="U23:V23"/>
    <mergeCell ref="P3:W3"/>
    <mergeCell ref="P5:W5"/>
    <mergeCell ref="O17:T17"/>
    <mergeCell ref="O18:T18"/>
    <mergeCell ref="H3:O3"/>
    <mergeCell ref="H5:O5"/>
    <mergeCell ref="U17:W17"/>
    <mergeCell ref="U18:W18"/>
    <mergeCell ref="U19:W19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883-5732-48C3-85C9-27C9ACC945D1}">
  <dimension ref="A1:AW43"/>
  <sheetViews>
    <sheetView topLeftCell="G27" zoomScaleNormal="100" workbookViewId="0">
      <selection activeCell="X5" sqref="X5:AB5"/>
    </sheetView>
  </sheetViews>
  <sheetFormatPr baseColWidth="10" defaultRowHeight="15" outlineLevelCol="1" x14ac:dyDescent="0.25"/>
  <cols>
    <col min="1" max="1" width="106" customWidth="1"/>
    <col min="2" max="3" width="19.28515625" style="28" customWidth="1" outlineLevel="1"/>
    <col min="4" max="5" width="18.85546875" style="28" customWidth="1" outlineLevel="1"/>
    <col min="6" max="6" width="18.85546875" customWidth="1" outlineLevel="1"/>
    <col min="7" max="7" width="28.42578125" customWidth="1" outlineLevel="1"/>
    <col min="8" max="8" width="6" customWidth="1" outlineLevel="1"/>
    <col min="9" max="9" width="2.140625" customWidth="1" outlineLevel="1"/>
    <col min="10" max="10" width="5" customWidth="1" outlineLevel="1"/>
    <col min="11" max="11" width="2.85546875" customWidth="1" outlineLevel="1"/>
    <col min="12" max="12" width="5.7109375" customWidth="1" outlineLevel="1"/>
    <col min="13" max="13" width="2.28515625" customWidth="1" outlineLevel="1"/>
    <col min="14" max="14" width="4.28515625" customWidth="1" outlineLevel="1"/>
    <col min="15" max="15" width="6.7109375" customWidth="1" outlineLevel="1"/>
    <col min="16" max="16" width="2.7109375" customWidth="1" outlineLevel="1"/>
    <col min="17" max="17" width="6.28515625" customWidth="1" outlineLevel="1"/>
    <col min="18" max="18" width="2.42578125" customWidth="1" outlineLevel="1"/>
    <col min="19" max="19" width="6.42578125" customWidth="1" outlineLevel="1"/>
    <col min="20" max="20" width="2.28515625" customWidth="1" outlineLevel="1"/>
    <col min="21" max="21" width="6.42578125" customWidth="1" outlineLevel="1"/>
    <col min="22" max="22" width="2.140625" customWidth="1" outlineLevel="1"/>
    <col min="23" max="23" width="6.5703125" customWidth="1" outlineLevel="1"/>
    <col min="24" max="24" width="8.140625" customWidth="1" outlineLevel="1"/>
    <col min="25" max="25" width="2.5703125" customWidth="1" outlineLevel="1"/>
    <col min="26" max="26" width="5.5703125" customWidth="1" outlineLevel="1"/>
    <col min="27" max="27" width="3.28515625" customWidth="1" outlineLevel="1"/>
    <col min="28" max="28" width="6.28515625" customWidth="1" outlineLevel="1"/>
    <col min="29" max="29" width="2.85546875" customWidth="1" outlineLevel="1"/>
    <col min="30" max="30" width="11.42578125" outlineLevel="1"/>
    <col min="31" max="31" width="40.85546875" customWidth="1" outlineLevel="1"/>
    <col min="32" max="32" width="18.85546875" customWidth="1" outlineLevel="1"/>
    <col min="33" max="33" width="13.42578125" customWidth="1"/>
    <col min="34" max="34" width="2" customWidth="1"/>
    <col min="35" max="35" width="6.140625" customWidth="1"/>
    <col min="36" max="36" width="2.7109375" customWidth="1"/>
    <col min="38" max="38" width="3.7109375" customWidth="1"/>
    <col min="39" max="39" width="12.140625" customWidth="1"/>
    <col min="40" max="40" width="4.5703125" customWidth="1"/>
    <col min="41" max="41" width="13.140625" customWidth="1"/>
    <col min="42" max="42" width="2" customWidth="1"/>
    <col min="43" max="43" width="16.85546875" customWidth="1"/>
    <col min="44" max="44" width="19.5703125" customWidth="1"/>
  </cols>
  <sheetData>
    <row r="1" spans="1:41" ht="15.75" thickBot="1" x14ac:dyDescent="0.3"/>
    <row r="2" spans="1:41" ht="16.5" thickBot="1" x14ac:dyDescent="0.3">
      <c r="A2" s="21"/>
      <c r="B2" s="41"/>
      <c r="C2" s="44"/>
      <c r="D2" s="41"/>
      <c r="E2" s="41"/>
      <c r="F2" s="23"/>
      <c r="P2" s="642"/>
      <c r="Q2" s="642"/>
      <c r="R2" s="642"/>
      <c r="S2" s="642"/>
      <c r="T2" s="642"/>
      <c r="U2" s="642"/>
      <c r="V2" s="642"/>
      <c r="W2" s="642"/>
      <c r="X2" s="642"/>
      <c r="Y2" s="642"/>
      <c r="Z2" s="642"/>
      <c r="AA2" s="642"/>
      <c r="AB2" s="642"/>
      <c r="AE2" s="571" t="s">
        <v>0</v>
      </c>
      <c r="AF2" s="572"/>
      <c r="AG2" s="571" t="s">
        <v>1</v>
      </c>
      <c r="AH2" s="573"/>
      <c r="AI2" s="573"/>
      <c r="AJ2" s="573"/>
      <c r="AK2" s="573"/>
      <c r="AL2" s="573"/>
      <c r="AM2" s="573"/>
      <c r="AN2" s="573"/>
      <c r="AO2" s="572"/>
    </row>
    <row r="3" spans="1:41" ht="25.5" customHeight="1" x14ac:dyDescent="0.25">
      <c r="A3" s="21"/>
      <c r="B3" s="34" t="s">
        <v>84</v>
      </c>
      <c r="C3" s="49" t="s">
        <v>53</v>
      </c>
      <c r="D3" s="34" t="s">
        <v>52</v>
      </c>
      <c r="E3" s="50" t="s">
        <v>50</v>
      </c>
      <c r="F3" s="17"/>
      <c r="G3" s="17" t="s">
        <v>60</v>
      </c>
      <c r="H3" s="482" t="s">
        <v>267</v>
      </c>
      <c r="I3" s="483"/>
      <c r="J3" s="483"/>
      <c r="K3" s="483"/>
      <c r="L3" s="483"/>
      <c r="M3" s="483"/>
      <c r="N3" s="483"/>
      <c r="O3" s="56"/>
      <c r="P3" s="450" t="s">
        <v>66</v>
      </c>
      <c r="Q3" s="451"/>
      <c r="R3" s="451"/>
      <c r="S3" s="451"/>
      <c r="T3" s="451"/>
      <c r="U3" s="451"/>
      <c r="V3" s="451"/>
      <c r="W3" s="452"/>
      <c r="X3" s="450" t="s">
        <v>247</v>
      </c>
      <c r="Y3" s="451"/>
      <c r="Z3" s="451"/>
      <c r="AA3" s="451"/>
      <c r="AB3" s="452"/>
      <c r="AC3" s="450"/>
      <c r="AD3" s="452"/>
      <c r="AE3" s="446" t="s">
        <v>374</v>
      </c>
      <c r="AF3" s="492"/>
      <c r="AG3" s="218" t="s">
        <v>122</v>
      </c>
      <c r="AH3" s="218"/>
      <c r="AI3" s="218"/>
      <c r="AJ3" s="218"/>
      <c r="AK3" s="220" t="s">
        <v>261</v>
      </c>
      <c r="AL3" s="218"/>
      <c r="AM3" s="379">
        <v>166.6</v>
      </c>
      <c r="AN3" s="218" t="s">
        <v>62</v>
      </c>
      <c r="AO3" s="219"/>
    </row>
    <row r="4" spans="1:41" ht="19.5" customHeight="1" x14ac:dyDescent="0.25">
      <c r="A4" s="21"/>
      <c r="B4" s="41"/>
      <c r="C4" s="41"/>
      <c r="D4" s="41"/>
      <c r="E4" s="41"/>
      <c r="F4" s="30"/>
      <c r="G4" s="30" t="s">
        <v>80</v>
      </c>
      <c r="H4" s="203"/>
      <c r="I4" s="639"/>
      <c r="J4" s="639"/>
      <c r="K4" s="639"/>
      <c r="L4" s="639"/>
      <c r="M4" s="639"/>
      <c r="N4" s="639"/>
      <c r="O4" s="639"/>
      <c r="P4" s="453"/>
      <c r="Q4" s="637"/>
      <c r="R4" s="637"/>
      <c r="S4" s="637"/>
      <c r="T4" s="637"/>
      <c r="U4" s="637"/>
      <c r="V4" s="637"/>
      <c r="W4" s="455"/>
      <c r="X4" s="258" t="s">
        <v>364</v>
      </c>
      <c r="Y4" s="288" t="s">
        <v>257</v>
      </c>
      <c r="Z4" s="378">
        <f>AM4</f>
        <v>108.28999999999999</v>
      </c>
      <c r="AA4" s="149"/>
      <c r="AB4" s="279"/>
      <c r="AC4" s="453"/>
      <c r="AD4" s="455"/>
      <c r="AE4" s="527"/>
      <c r="AF4" s="574"/>
      <c r="AG4" s="138" t="s">
        <v>362</v>
      </c>
      <c r="AH4" s="11"/>
      <c r="AI4" s="221"/>
      <c r="AJ4" s="11"/>
      <c r="AK4" s="11"/>
      <c r="AL4" s="11"/>
      <c r="AM4" s="222">
        <f>AM3-AM16</f>
        <v>108.28999999999999</v>
      </c>
      <c r="AN4" s="11" t="s">
        <v>62</v>
      </c>
      <c r="AO4" s="67"/>
    </row>
    <row r="5" spans="1:41" ht="18.75" customHeight="1" x14ac:dyDescent="0.25">
      <c r="A5" s="21"/>
      <c r="F5" s="8"/>
      <c r="G5" s="8"/>
      <c r="H5" s="484" t="s">
        <v>246</v>
      </c>
      <c r="I5" s="637"/>
      <c r="J5" s="637"/>
      <c r="K5" s="637"/>
      <c r="L5" s="637"/>
      <c r="M5" s="637"/>
      <c r="N5" s="637"/>
      <c r="O5" s="639"/>
      <c r="P5" s="21"/>
      <c r="Q5" s="642"/>
      <c r="R5" s="642"/>
      <c r="S5" s="642"/>
      <c r="T5" s="642"/>
      <c r="U5" s="642"/>
      <c r="V5" s="642"/>
      <c r="W5" s="22"/>
      <c r="X5" s="453" t="s">
        <v>116</v>
      </c>
      <c r="Y5" s="637"/>
      <c r="Z5" s="637"/>
      <c r="AA5" s="637"/>
      <c r="AB5" s="455"/>
      <c r="AC5" s="453"/>
      <c r="AD5" s="455"/>
      <c r="AE5" s="529" t="s">
        <v>361</v>
      </c>
      <c r="AF5" s="511"/>
      <c r="AG5" s="510" t="s">
        <v>123</v>
      </c>
      <c r="AH5" s="510"/>
      <c r="AI5" s="510"/>
      <c r="AJ5" s="510"/>
      <c r="AK5" s="510"/>
      <c r="AL5" s="510"/>
      <c r="AM5" s="510"/>
      <c r="AN5" s="510"/>
      <c r="AO5" s="511"/>
    </row>
    <row r="6" spans="1:41" ht="18" customHeight="1" x14ac:dyDescent="0.25">
      <c r="A6" s="21"/>
      <c r="F6" s="8"/>
      <c r="G6" s="8"/>
      <c r="H6" s="215"/>
      <c r="I6" s="643"/>
      <c r="J6" s="643"/>
      <c r="K6" s="643"/>
      <c r="L6" s="643"/>
      <c r="M6" s="643"/>
      <c r="N6" s="643"/>
      <c r="O6" s="643"/>
      <c r="P6" s="453" t="s">
        <v>69</v>
      </c>
      <c r="Q6" s="637"/>
      <c r="R6" s="637"/>
      <c r="S6" s="637"/>
      <c r="T6" s="637"/>
      <c r="U6" s="637"/>
      <c r="V6" s="637"/>
      <c r="W6" s="455"/>
      <c r="X6" s="115">
        <f>ROUND(Z6/AB6,3)</f>
        <v>1.4</v>
      </c>
      <c r="Y6" s="638" t="s">
        <v>257</v>
      </c>
      <c r="Z6" s="678">
        <v>1</v>
      </c>
      <c r="AA6" s="639" t="s">
        <v>250</v>
      </c>
      <c r="AB6" s="277">
        <f>AG14</f>
        <v>0.7142857142857143</v>
      </c>
      <c r="AC6" s="453"/>
      <c r="AD6" s="455"/>
      <c r="AE6" s="79" t="s">
        <v>423</v>
      </c>
      <c r="AF6" s="103" t="s">
        <v>424</v>
      </c>
      <c r="AG6" s="444" t="s">
        <v>397</v>
      </c>
      <c r="AH6" s="444"/>
      <c r="AI6" s="444"/>
      <c r="AJ6" s="444"/>
      <c r="AK6" s="444"/>
      <c r="AL6" s="444"/>
      <c r="AM6" s="444"/>
      <c r="AO6" s="22">
        <f>'Kat. 1 U-Wert'!F19</f>
        <v>1.4</v>
      </c>
    </row>
    <row r="7" spans="1:41" ht="18" customHeight="1" x14ac:dyDescent="0.25">
      <c r="A7" s="21"/>
      <c r="F7" s="8"/>
      <c r="G7" s="8"/>
      <c r="H7" s="215"/>
      <c r="I7" s="643"/>
      <c r="J7" s="643"/>
      <c r="K7" s="643"/>
      <c r="L7" s="643"/>
      <c r="M7" s="643"/>
      <c r="N7" s="643"/>
      <c r="O7" s="643"/>
      <c r="P7" s="21"/>
      <c r="Q7" s="662" t="s">
        <v>260</v>
      </c>
      <c r="R7" s="638" t="s">
        <v>257</v>
      </c>
      <c r="S7" s="639" t="s">
        <v>259</v>
      </c>
      <c r="T7" s="640" t="s">
        <v>248</v>
      </c>
      <c r="U7" s="639" t="s">
        <v>256</v>
      </c>
      <c r="V7" s="640" t="s">
        <v>248</v>
      </c>
      <c r="W7" s="204" t="s">
        <v>258</v>
      </c>
      <c r="X7" s="21"/>
      <c r="Y7" s="679"/>
      <c r="Z7" s="680"/>
      <c r="AA7" s="642"/>
      <c r="AB7" s="233"/>
      <c r="AC7" s="453"/>
      <c r="AD7" s="455"/>
      <c r="AE7" s="79" t="str">
        <f>'Kat. 1 U-Wert'!B19</f>
        <v>Sonstige Wandaufbauten über 20cm Wandstärke</v>
      </c>
      <c r="AF7" s="103" t="s">
        <v>425</v>
      </c>
      <c r="AG7" s="444"/>
      <c r="AH7" s="444"/>
      <c r="AI7" s="444"/>
      <c r="AJ7" s="444"/>
      <c r="AK7" s="444"/>
      <c r="AL7" s="444"/>
      <c r="AM7" s="444"/>
      <c r="AN7" s="444"/>
      <c r="AO7" s="66"/>
    </row>
    <row r="8" spans="1:41" ht="18" customHeight="1" x14ac:dyDescent="0.25">
      <c r="A8" s="21"/>
      <c r="F8" s="8"/>
      <c r="G8" s="8"/>
      <c r="H8" s="215"/>
      <c r="I8" s="643"/>
      <c r="J8" s="643"/>
      <c r="K8" s="643"/>
      <c r="L8" s="643"/>
      <c r="M8" s="643"/>
      <c r="N8" s="643"/>
      <c r="O8" s="643"/>
      <c r="P8" s="21"/>
      <c r="Q8" s="706">
        <f>S8*U8*W8</f>
        <v>151.60599999999997</v>
      </c>
      <c r="R8" s="638" t="s">
        <v>257</v>
      </c>
      <c r="S8" s="639">
        <v>1</v>
      </c>
      <c r="T8" s="640" t="s">
        <v>248</v>
      </c>
      <c r="U8" s="667">
        <f>X6</f>
        <v>1.4</v>
      </c>
      <c r="V8" s="640" t="s">
        <v>248</v>
      </c>
      <c r="W8" s="380">
        <f>Z4</f>
        <v>108.28999999999999</v>
      </c>
      <c r="X8" s="226"/>
      <c r="Y8" s="638"/>
      <c r="Z8" s="639"/>
      <c r="AA8" s="639"/>
      <c r="AB8" s="139"/>
      <c r="AC8" s="453"/>
      <c r="AD8" s="455"/>
      <c r="AE8" s="79" t="str">
        <f>'Kat. 1 U-Wert'!B16</f>
        <v>Wie vorstehend, jedoch 
über 30cm Wandstärke</v>
      </c>
      <c r="AF8" s="103" t="s">
        <v>426</v>
      </c>
      <c r="AG8" s="445" t="s">
        <v>111</v>
      </c>
      <c r="AH8" s="445"/>
      <c r="AI8" s="445"/>
      <c r="AJ8" s="16"/>
      <c r="AK8" s="227">
        <v>0</v>
      </c>
      <c r="AL8" s="15" t="s">
        <v>252</v>
      </c>
      <c r="AM8" s="16" t="s">
        <v>254</v>
      </c>
      <c r="AN8" s="16"/>
      <c r="AO8" s="66">
        <v>3.5000000000000003E-2</v>
      </c>
    </row>
    <row r="9" spans="1:41" ht="18" customHeight="1" x14ac:dyDescent="0.25">
      <c r="A9" s="21"/>
      <c r="F9" s="8"/>
      <c r="G9" s="8"/>
      <c r="H9" s="215"/>
      <c r="I9" s="643"/>
      <c r="J9" s="643"/>
      <c r="K9" s="643"/>
      <c r="L9" s="643"/>
      <c r="M9" s="643"/>
      <c r="N9" s="643"/>
      <c r="O9" s="643"/>
      <c r="P9" s="115"/>
      <c r="Q9" s="639"/>
      <c r="R9" s="639"/>
      <c r="S9" s="639"/>
      <c r="T9" s="639"/>
      <c r="U9" s="639"/>
      <c r="V9" s="639"/>
      <c r="W9" s="139"/>
      <c r="X9" s="226"/>
      <c r="Y9" s="638"/>
      <c r="Z9" s="639"/>
      <c r="AA9" s="639"/>
      <c r="AB9" s="139"/>
      <c r="AC9" s="453"/>
      <c r="AD9" s="455"/>
      <c r="AE9" s="79"/>
      <c r="AF9" s="103"/>
      <c r="AG9" s="55" t="s">
        <v>429</v>
      </c>
      <c r="AH9" s="234" t="s">
        <v>257</v>
      </c>
      <c r="AI9" s="235" t="s">
        <v>284</v>
      </c>
      <c r="AJ9" s="234" t="s">
        <v>255</v>
      </c>
      <c r="AK9" s="55" t="s">
        <v>249</v>
      </c>
      <c r="AL9" s="55" t="s">
        <v>250</v>
      </c>
      <c r="AM9" s="55" t="s">
        <v>287</v>
      </c>
      <c r="AN9" s="255" t="s">
        <v>255</v>
      </c>
      <c r="AO9" s="236" t="s">
        <v>285</v>
      </c>
    </row>
    <row r="10" spans="1:41" ht="18" customHeight="1" x14ac:dyDescent="0.25">
      <c r="A10" s="21"/>
      <c r="F10" s="8"/>
      <c r="G10" s="8"/>
      <c r="H10" s="215"/>
      <c r="I10" s="643"/>
      <c r="J10" s="643"/>
      <c r="K10" s="643"/>
      <c r="L10" s="643"/>
      <c r="M10" s="643"/>
      <c r="N10" s="643"/>
      <c r="O10" s="643"/>
      <c r="P10" s="115"/>
      <c r="Q10" s="639"/>
      <c r="R10" s="639"/>
      <c r="S10" s="639"/>
      <c r="T10" s="639"/>
      <c r="U10" s="639"/>
      <c r="V10" s="639"/>
      <c r="W10" s="139"/>
      <c r="X10" s="226"/>
      <c r="Y10" s="638"/>
      <c r="Z10" s="639"/>
      <c r="AA10" s="639"/>
      <c r="AB10" s="139"/>
      <c r="AC10" s="453"/>
      <c r="AD10" s="455"/>
      <c r="AE10" s="79"/>
      <c r="AF10" s="103"/>
      <c r="AG10" s="345">
        <f>AI10+(AK10/AM10)+AO10</f>
        <v>0</v>
      </c>
      <c r="AH10" s="238" t="s">
        <v>257</v>
      </c>
      <c r="AI10" s="239">
        <f>IF(AK8&gt;0,'Kat. 1 U-Wert'!C48,0)</f>
        <v>0</v>
      </c>
      <c r="AJ10" s="240" t="s">
        <v>255</v>
      </c>
      <c r="AK10" s="239">
        <f>AK8</f>
        <v>0</v>
      </c>
      <c r="AL10" s="89" t="s">
        <v>250</v>
      </c>
      <c r="AM10" s="241">
        <f>AO8</f>
        <v>3.5000000000000003E-2</v>
      </c>
      <c r="AN10" s="238" t="s">
        <v>255</v>
      </c>
      <c r="AO10" s="242">
        <f>IF(AK8&gt;0,'Kat. 1 U-Wert'!C49,0)</f>
        <v>0</v>
      </c>
    </row>
    <row r="11" spans="1:41" ht="18" customHeight="1" x14ac:dyDescent="0.25">
      <c r="A11" s="21"/>
      <c r="F11" s="8"/>
      <c r="G11" s="8"/>
      <c r="H11" s="215"/>
      <c r="I11" s="643"/>
      <c r="J11" s="643"/>
      <c r="K11" s="643"/>
      <c r="L11" s="643"/>
      <c r="M11" s="643"/>
      <c r="N11" s="643"/>
      <c r="O11" s="643"/>
      <c r="P11" s="115"/>
      <c r="Q11" s="639"/>
      <c r="R11" s="639"/>
      <c r="S11" s="639"/>
      <c r="T11" s="639"/>
      <c r="U11" s="639"/>
      <c r="V11" s="639"/>
      <c r="W11" s="139"/>
      <c r="X11" s="226"/>
      <c r="Y11" s="638"/>
      <c r="Z11" s="639"/>
      <c r="AA11" s="639"/>
      <c r="AB11" s="139"/>
      <c r="AC11" s="453"/>
      <c r="AD11" s="455"/>
      <c r="AE11" s="79"/>
      <c r="AF11" s="103"/>
      <c r="AG11" s="55" t="s">
        <v>435</v>
      </c>
      <c r="AH11" s="255" t="s">
        <v>257</v>
      </c>
      <c r="AI11" s="55">
        <v>1</v>
      </c>
      <c r="AJ11" s="55" t="s">
        <v>250</v>
      </c>
      <c r="AK11" s="442" t="s">
        <v>381</v>
      </c>
      <c r="AL11" s="442"/>
      <c r="AM11" s="442"/>
      <c r="AN11" s="58"/>
      <c r="AO11" s="236"/>
    </row>
    <row r="12" spans="1:41" ht="18" customHeight="1" x14ac:dyDescent="0.25">
      <c r="A12" s="21"/>
      <c r="F12" s="8"/>
      <c r="G12" s="8"/>
      <c r="H12" s="215"/>
      <c r="I12" s="643"/>
      <c r="J12" s="643"/>
      <c r="K12" s="643"/>
      <c r="L12" s="643"/>
      <c r="M12" s="643"/>
      <c r="N12" s="643"/>
      <c r="O12" s="643"/>
      <c r="P12" s="115"/>
      <c r="Q12" s="639"/>
      <c r="R12" s="639"/>
      <c r="S12" s="639"/>
      <c r="T12" s="639"/>
      <c r="U12" s="639"/>
      <c r="V12" s="639"/>
      <c r="W12" s="139"/>
      <c r="X12" s="226"/>
      <c r="Y12" s="638"/>
      <c r="Z12" s="639"/>
      <c r="AA12" s="639"/>
      <c r="AB12" s="139"/>
      <c r="AC12" s="453"/>
      <c r="AD12" s="455"/>
      <c r="AE12" s="79"/>
      <c r="AF12" s="103"/>
      <c r="AG12" s="343">
        <f>AI12/AK12</f>
        <v>0.7142857142857143</v>
      </c>
      <c r="AH12" s="238" t="s">
        <v>257</v>
      </c>
      <c r="AI12" s="89">
        <v>1</v>
      </c>
      <c r="AJ12" s="89" t="s">
        <v>250</v>
      </c>
      <c r="AK12" s="443">
        <f>AO6</f>
        <v>1.4</v>
      </c>
      <c r="AL12" s="443"/>
      <c r="AM12" s="443"/>
      <c r="AN12" s="59"/>
      <c r="AO12" s="276"/>
    </row>
    <row r="13" spans="1:41" ht="18" customHeight="1" x14ac:dyDescent="0.25">
      <c r="A13" s="21"/>
      <c r="F13" s="8"/>
      <c r="G13" s="8"/>
      <c r="H13" s="215"/>
      <c r="I13" s="643"/>
      <c r="J13" s="643"/>
      <c r="K13" s="643"/>
      <c r="L13" s="643"/>
      <c r="M13" s="643"/>
      <c r="N13" s="643"/>
      <c r="O13" s="643"/>
      <c r="P13" s="115"/>
      <c r="Q13" s="639"/>
      <c r="R13" s="639"/>
      <c r="S13" s="639"/>
      <c r="T13" s="639"/>
      <c r="U13" s="639"/>
      <c r="V13" s="639"/>
      <c r="W13" s="139"/>
      <c r="X13" s="226"/>
      <c r="Y13" s="638"/>
      <c r="Z13" s="639"/>
      <c r="AA13" s="639"/>
      <c r="AB13" s="139"/>
      <c r="AC13" s="453"/>
      <c r="AD13" s="455"/>
      <c r="AE13" s="79"/>
      <c r="AF13" s="103"/>
      <c r="AG13" s="55" t="s">
        <v>427</v>
      </c>
      <c r="AH13" s="255" t="s">
        <v>257</v>
      </c>
      <c r="AI13" s="55"/>
      <c r="AJ13" s="55"/>
      <c r="AK13" s="55" t="s">
        <v>436</v>
      </c>
      <c r="AL13" s="342" t="s">
        <v>255</v>
      </c>
      <c r="AM13" s="55" t="s">
        <v>431</v>
      </c>
      <c r="AN13" s="58"/>
      <c r="AO13" s="236"/>
    </row>
    <row r="14" spans="1:41" ht="18" customHeight="1" x14ac:dyDescent="0.25">
      <c r="A14" s="21"/>
      <c r="F14" s="8"/>
      <c r="G14" s="8"/>
      <c r="H14" s="215"/>
      <c r="I14" s="643"/>
      <c r="J14" s="643"/>
      <c r="K14" s="643"/>
      <c r="L14" s="643"/>
      <c r="M14" s="643"/>
      <c r="N14" s="643"/>
      <c r="O14" s="643"/>
      <c r="P14" s="115"/>
      <c r="Q14" s="639"/>
      <c r="R14" s="639"/>
      <c r="S14" s="639"/>
      <c r="T14" s="639"/>
      <c r="U14" s="639"/>
      <c r="V14" s="639"/>
      <c r="W14" s="139"/>
      <c r="X14" s="226"/>
      <c r="Y14" s="638"/>
      <c r="Z14" s="639"/>
      <c r="AA14" s="639"/>
      <c r="AB14" s="139"/>
      <c r="AC14" s="453"/>
      <c r="AD14" s="455"/>
      <c r="AE14" s="79"/>
      <c r="AF14" s="103"/>
      <c r="AG14" s="293">
        <f>AK14+AM14</f>
        <v>0.7142857142857143</v>
      </c>
      <c r="AH14" s="238" t="s">
        <v>257</v>
      </c>
      <c r="AI14" s="89"/>
      <c r="AJ14" s="89"/>
      <c r="AK14" s="343">
        <f>AG12</f>
        <v>0.7142857142857143</v>
      </c>
      <c r="AL14" s="344" t="s">
        <v>255</v>
      </c>
      <c r="AM14" s="345">
        <f>AG10</f>
        <v>0</v>
      </c>
      <c r="AN14" s="59"/>
      <c r="AO14" s="276"/>
    </row>
    <row r="15" spans="1:41" ht="18" customHeight="1" x14ac:dyDescent="0.25">
      <c r="A15" s="21"/>
      <c r="F15" s="8"/>
      <c r="G15" s="8"/>
      <c r="H15" s="215"/>
      <c r="I15" s="643"/>
      <c r="J15" s="643"/>
      <c r="K15" s="643"/>
      <c r="L15" s="643"/>
      <c r="M15" s="643"/>
      <c r="N15" s="643"/>
      <c r="O15" s="643"/>
      <c r="P15" s="115"/>
      <c r="Q15" s="639"/>
      <c r="R15" s="639"/>
      <c r="S15" s="639"/>
      <c r="T15" s="639"/>
      <c r="U15" s="639"/>
      <c r="V15" s="639"/>
      <c r="W15" s="139"/>
      <c r="X15" s="226"/>
      <c r="Y15" s="638"/>
      <c r="Z15" s="639"/>
      <c r="AA15" s="639"/>
      <c r="AB15" s="139"/>
      <c r="AC15" s="453"/>
      <c r="AD15" s="455"/>
      <c r="AE15" s="81"/>
      <c r="AF15" s="276"/>
      <c r="AG15" s="205"/>
      <c r="AH15" s="205"/>
      <c r="AI15" s="205"/>
      <c r="AJ15" s="16"/>
      <c r="AK15" s="227"/>
      <c r="AL15" s="15"/>
      <c r="AM15" s="16"/>
      <c r="AN15" s="16"/>
      <c r="AO15" s="66"/>
    </row>
    <row r="16" spans="1:41" ht="18.75" customHeight="1" x14ac:dyDescent="0.25">
      <c r="A16" s="21"/>
      <c r="F16" s="8"/>
      <c r="G16" s="8"/>
      <c r="H16" s="215"/>
      <c r="I16" s="643"/>
      <c r="J16" s="643"/>
      <c r="K16" s="643"/>
      <c r="L16" s="643"/>
      <c r="M16" s="643"/>
      <c r="N16" s="643"/>
      <c r="O16" s="643"/>
      <c r="P16" s="504" t="s">
        <v>67</v>
      </c>
      <c r="Q16" s="483"/>
      <c r="R16" s="483"/>
      <c r="S16" s="483"/>
      <c r="T16" s="483"/>
      <c r="U16" s="483"/>
      <c r="V16" s="483"/>
      <c r="W16" s="505"/>
      <c r="X16" s="504" t="s">
        <v>247</v>
      </c>
      <c r="Y16" s="483"/>
      <c r="Z16" s="483"/>
      <c r="AA16" s="483"/>
      <c r="AB16" s="505"/>
      <c r="AC16" s="453"/>
      <c r="AD16" s="455"/>
      <c r="AE16" s="711" t="s">
        <v>437</v>
      </c>
      <c r="AF16" s="532"/>
      <c r="AG16" s="137" t="s">
        <v>122</v>
      </c>
      <c r="AH16" s="255"/>
      <c r="AI16" s="235"/>
      <c r="AJ16" s="234"/>
      <c r="AK16" s="256" t="s">
        <v>261</v>
      </c>
      <c r="AL16" s="55"/>
      <c r="AM16" s="257">
        <f>AM3*0.35</f>
        <v>58.309999999999995</v>
      </c>
      <c r="AN16" s="40" t="s">
        <v>62</v>
      </c>
      <c r="AO16" s="236"/>
    </row>
    <row r="17" spans="1:49" ht="18" customHeight="1" x14ac:dyDescent="0.25">
      <c r="A17" s="21"/>
      <c r="F17" s="8"/>
      <c r="G17" s="8"/>
      <c r="H17" s="215"/>
      <c r="I17" s="643"/>
      <c r="J17" s="643"/>
      <c r="K17" s="643"/>
      <c r="L17" s="643"/>
      <c r="M17" s="643"/>
      <c r="N17" s="643"/>
      <c r="O17" s="643"/>
      <c r="P17" s="453"/>
      <c r="Q17" s="637"/>
      <c r="R17" s="637"/>
      <c r="S17" s="637"/>
      <c r="T17" s="637"/>
      <c r="U17" s="637"/>
      <c r="V17" s="637"/>
      <c r="W17" s="455"/>
      <c r="X17" s="258" t="s">
        <v>258</v>
      </c>
      <c r="Y17" s="288" t="s">
        <v>257</v>
      </c>
      <c r="Z17" s="259">
        <f>AM16</f>
        <v>58.309999999999995</v>
      </c>
      <c r="AA17" s="149" t="s">
        <v>438</v>
      </c>
      <c r="AB17" s="279"/>
      <c r="AC17" s="453"/>
      <c r="AD17" s="455"/>
      <c r="AE17" s="448"/>
      <c r="AF17" s="493"/>
      <c r="AG17" s="205"/>
      <c r="AH17" s="248"/>
      <c r="AI17" s="249"/>
      <c r="AJ17" s="250"/>
      <c r="AK17" s="260"/>
      <c r="AL17" s="15"/>
      <c r="AM17" s="231"/>
      <c r="AN17" s="16"/>
      <c r="AO17" s="103"/>
    </row>
    <row r="18" spans="1:49" ht="16.5" customHeight="1" x14ac:dyDescent="0.25">
      <c r="A18" s="21"/>
      <c r="F18" s="8"/>
      <c r="G18" s="8"/>
      <c r="H18" s="215"/>
      <c r="I18" s="643"/>
      <c r="J18" s="643"/>
      <c r="K18" s="643"/>
      <c r="L18" s="643"/>
      <c r="M18" s="643"/>
      <c r="N18" s="643"/>
      <c r="O18" s="643"/>
      <c r="P18" s="453" t="s">
        <v>69</v>
      </c>
      <c r="Q18" s="637"/>
      <c r="R18" s="637"/>
      <c r="S18" s="637"/>
      <c r="T18" s="637"/>
      <c r="U18" s="637"/>
      <c r="V18" s="637"/>
      <c r="W18" s="455"/>
      <c r="X18" s="453" t="s">
        <v>116</v>
      </c>
      <c r="Y18" s="637"/>
      <c r="Z18" s="637"/>
      <c r="AA18" s="637"/>
      <c r="AB18" s="455"/>
      <c r="AC18" s="453"/>
      <c r="AD18" s="455"/>
      <c r="AE18" s="456" t="s">
        <v>361</v>
      </c>
      <c r="AF18" s="457"/>
      <c r="AG18" s="510" t="s">
        <v>271</v>
      </c>
      <c r="AH18" s="510"/>
      <c r="AI18" s="510"/>
      <c r="AJ18" s="510"/>
      <c r="AK18" s="510"/>
      <c r="AL18" s="40"/>
      <c r="AM18" s="290" t="s">
        <v>372</v>
      </c>
      <c r="AN18" s="364">
        <f>'Kat. 1 U-Wert'!I37</f>
        <v>2.7</v>
      </c>
      <c r="AO18" s="365" t="s">
        <v>64</v>
      </c>
    </row>
    <row r="19" spans="1:49" ht="16.5" customHeight="1" x14ac:dyDescent="0.25">
      <c r="A19" s="21"/>
      <c r="F19" s="8"/>
      <c r="G19" s="8"/>
      <c r="H19" s="215"/>
      <c r="I19" s="643"/>
      <c r="J19" s="643"/>
      <c r="K19" s="643"/>
      <c r="L19" s="643"/>
      <c r="M19" s="643"/>
      <c r="N19" s="643"/>
      <c r="O19" s="643"/>
      <c r="P19" s="21"/>
      <c r="Q19" s="662" t="s">
        <v>260</v>
      </c>
      <c r="R19" s="638" t="s">
        <v>257</v>
      </c>
      <c r="S19" s="639" t="s">
        <v>259</v>
      </c>
      <c r="T19" s="640" t="s">
        <v>248</v>
      </c>
      <c r="U19" s="639" t="s">
        <v>256</v>
      </c>
      <c r="V19" s="640" t="s">
        <v>248</v>
      </c>
      <c r="W19" s="204" t="s">
        <v>258</v>
      </c>
      <c r="X19" s="226" t="s">
        <v>256</v>
      </c>
      <c r="Y19" s="638" t="s">
        <v>257</v>
      </c>
      <c r="Z19" s="659">
        <f>AN18</f>
        <v>2.7</v>
      </c>
      <c r="AA19" s="639"/>
      <c r="AB19" s="139"/>
      <c r="AC19" s="453"/>
      <c r="AD19" s="455"/>
      <c r="AE19" s="79" t="str">
        <f>'Kat. 1 U-Wert'!B37</f>
        <v>Holzfenster, zwei Scheiben</v>
      </c>
      <c r="AF19" s="103" t="s">
        <v>351</v>
      </c>
      <c r="AG19" s="444" t="s">
        <v>395</v>
      </c>
      <c r="AH19" s="444"/>
      <c r="AI19" s="444"/>
      <c r="AJ19" s="444"/>
      <c r="AK19" s="444"/>
      <c r="AL19" s="444"/>
      <c r="AM19" s="444"/>
      <c r="AN19" s="444"/>
      <c r="AO19" s="457"/>
    </row>
    <row r="20" spans="1:49" ht="15.75" customHeight="1" x14ac:dyDescent="0.25">
      <c r="A20" s="21"/>
      <c r="F20" s="8"/>
      <c r="G20" s="8"/>
      <c r="H20" s="215"/>
      <c r="I20" s="643"/>
      <c r="J20" s="643"/>
      <c r="K20" s="643"/>
      <c r="L20" s="643"/>
      <c r="M20" s="643"/>
      <c r="N20" s="643"/>
      <c r="O20" s="643"/>
      <c r="P20" s="21"/>
      <c r="Q20" s="706">
        <f>S20*U20*W20</f>
        <v>146.41640999999998</v>
      </c>
      <c r="R20" s="638" t="s">
        <v>257</v>
      </c>
      <c r="S20" s="639">
        <v>0.93</v>
      </c>
      <c r="T20" s="640" t="s">
        <v>248</v>
      </c>
      <c r="U20" s="659">
        <f>Z19</f>
        <v>2.7</v>
      </c>
      <c r="V20" s="640" t="s">
        <v>248</v>
      </c>
      <c r="W20" s="230">
        <f>Z17</f>
        <v>58.309999999999995</v>
      </c>
      <c r="X20" s="226"/>
      <c r="Y20" s="638"/>
      <c r="Z20" s="639"/>
      <c r="AA20" s="639"/>
      <c r="AB20" s="139"/>
      <c r="AC20" s="453"/>
      <c r="AD20" s="455"/>
      <c r="AE20" s="79" t="str">
        <f>'Kat. 1 U-Wert'!B39</f>
        <v>Kunststofffenster, Isolierverglasung</v>
      </c>
      <c r="AF20" s="103" t="s">
        <v>352</v>
      </c>
      <c r="AG20" s="444" t="s">
        <v>396</v>
      </c>
      <c r="AH20" s="444"/>
      <c r="AI20" s="444"/>
      <c r="AJ20" s="444"/>
      <c r="AK20" s="444"/>
      <c r="AL20" s="444"/>
      <c r="AM20" s="444"/>
      <c r="AN20" s="444"/>
      <c r="AO20" s="457"/>
    </row>
    <row r="21" spans="1:49" ht="15.75" thickBot="1" x14ac:dyDescent="0.3">
      <c r="A21" s="21"/>
      <c r="F21" s="18"/>
      <c r="G21" s="18"/>
      <c r="H21" s="391"/>
      <c r="I21" s="57"/>
      <c r="J21" s="57"/>
      <c r="K21" s="57"/>
      <c r="L21" s="57"/>
      <c r="M21" s="57"/>
      <c r="N21" s="57"/>
      <c r="O21" s="57"/>
      <c r="P21" s="24"/>
      <c r="Q21" s="25"/>
      <c r="R21" s="25"/>
      <c r="S21" s="25"/>
      <c r="T21" s="25"/>
      <c r="U21" s="25"/>
      <c r="V21" s="25"/>
      <c r="W21" s="26"/>
      <c r="X21" s="24"/>
      <c r="Y21" s="25"/>
      <c r="Z21" s="25"/>
      <c r="AA21" s="25"/>
      <c r="AB21" s="26"/>
      <c r="AC21" s="458"/>
      <c r="AD21" s="570"/>
      <c r="AE21" s="24"/>
      <c r="AF21" s="26"/>
      <c r="AG21" s="490" t="s">
        <v>348</v>
      </c>
      <c r="AH21" s="490"/>
      <c r="AI21" s="490"/>
      <c r="AJ21" s="490"/>
      <c r="AK21" s="490"/>
      <c r="AL21" s="490"/>
      <c r="AM21" s="490"/>
      <c r="AN21" s="490"/>
      <c r="AO21" s="491"/>
    </row>
    <row r="22" spans="1:49" x14ac:dyDescent="0.25">
      <c r="A22" s="21"/>
      <c r="AQ22" s="642"/>
      <c r="AR22" s="642"/>
      <c r="AS22" s="642"/>
      <c r="AT22" s="642"/>
      <c r="AU22" s="642"/>
    </row>
    <row r="23" spans="1:49" ht="15.75" thickBot="1" x14ac:dyDescent="0.3">
      <c r="A23" s="21"/>
      <c r="AQ23" s="642"/>
      <c r="AR23" s="642"/>
      <c r="AS23" s="642"/>
      <c r="AT23" s="642"/>
      <c r="AU23" s="642"/>
    </row>
    <row r="24" spans="1:49" ht="19.5" thickBot="1" x14ac:dyDescent="0.35">
      <c r="A24" s="51" t="s">
        <v>85</v>
      </c>
      <c r="B24" s="27"/>
      <c r="C24" s="27"/>
      <c r="D24" s="27"/>
      <c r="E24" s="27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671"/>
      <c r="AQ24" s="671"/>
      <c r="AR24" s="671"/>
      <c r="AS24" s="642"/>
      <c r="AT24" s="642"/>
      <c r="AU24" s="642"/>
      <c r="AW24" s="642"/>
    </row>
    <row r="25" spans="1:49" ht="31.5" customHeight="1" x14ac:dyDescent="0.25">
      <c r="A25" s="21"/>
      <c r="O25" s="482" t="s">
        <v>309</v>
      </c>
      <c r="P25" s="483"/>
      <c r="Q25" s="483"/>
      <c r="R25" s="483"/>
      <c r="S25" s="483"/>
      <c r="T25" s="553"/>
      <c r="U25" s="568" t="s">
        <v>459</v>
      </c>
      <c r="V25" s="568"/>
      <c r="W25" s="568"/>
      <c r="X25" s="547" t="s">
        <v>450</v>
      </c>
      <c r="Y25" s="475"/>
      <c r="Z25" s="547" t="s">
        <v>449</v>
      </c>
      <c r="AA25" s="474"/>
      <c r="AB25" s="474"/>
      <c r="AC25" s="547" t="s">
        <v>451</v>
      </c>
      <c r="AD25" s="474"/>
      <c r="AE25" s="575" t="s">
        <v>376</v>
      </c>
      <c r="AF25" s="576"/>
      <c r="AG25" s="577"/>
      <c r="AH25" s="656"/>
      <c r="AI25" s="578"/>
      <c r="AJ25" s="578"/>
      <c r="AK25" s="578"/>
      <c r="AL25" s="578"/>
      <c r="AM25" s="578"/>
      <c r="AN25" s="578"/>
      <c r="AO25" s="579"/>
      <c r="AP25" s="715"/>
      <c r="AQ25" s="715"/>
      <c r="AR25" s="715"/>
      <c r="AS25" s="714"/>
      <c r="AT25" s="714"/>
      <c r="AV25" s="642"/>
      <c r="AW25" s="642"/>
    </row>
    <row r="26" spans="1:49" ht="25.5" customHeight="1" x14ac:dyDescent="0.25">
      <c r="A26" s="21"/>
      <c r="O26" s="484" t="s">
        <v>69</v>
      </c>
      <c r="P26" s="637"/>
      <c r="Q26" s="637"/>
      <c r="R26" s="637"/>
      <c r="S26" s="637"/>
      <c r="T26" s="464"/>
      <c r="U26" s="560" t="s">
        <v>252</v>
      </c>
      <c r="V26" s="560"/>
      <c r="W26" s="560"/>
      <c r="X26" s="548" t="s">
        <v>64</v>
      </c>
      <c r="Y26" s="518"/>
      <c r="Z26" s="548" t="s">
        <v>64</v>
      </c>
      <c r="AA26" s="502"/>
      <c r="AB26" s="502"/>
      <c r="AC26" s="548" t="s">
        <v>452</v>
      </c>
      <c r="AD26" s="502"/>
      <c r="AE26" s="561" t="s">
        <v>365</v>
      </c>
      <c r="AF26" s="547" t="s">
        <v>353</v>
      </c>
      <c r="AG26" s="475"/>
      <c r="AH26" s="482" t="s">
        <v>368</v>
      </c>
      <c r="AI26" s="483"/>
      <c r="AJ26" s="483"/>
      <c r="AK26" s="483"/>
      <c r="AL26" s="483"/>
      <c r="AM26" s="483"/>
      <c r="AN26" s="483"/>
      <c r="AO26" s="505"/>
      <c r="AP26" s="688"/>
      <c r="AQ26" s="688"/>
      <c r="AR26" s="688"/>
      <c r="AS26" s="643"/>
      <c r="AT26" s="643"/>
      <c r="AV26" s="642"/>
      <c r="AW26" s="642"/>
    </row>
    <row r="27" spans="1:49" ht="24" customHeight="1" x14ac:dyDescent="0.25">
      <c r="A27" s="21"/>
      <c r="O27" s="440" t="s">
        <v>260</v>
      </c>
      <c r="P27" s="638" t="s">
        <v>257</v>
      </c>
      <c r="Q27" s="639" t="s">
        <v>256</v>
      </c>
      <c r="R27" s="640" t="s">
        <v>248</v>
      </c>
      <c r="S27" s="639" t="s">
        <v>258</v>
      </c>
      <c r="T27" s="2"/>
      <c r="U27" s="712">
        <f>ROUNDUP(U31,2)</f>
        <v>0.15</v>
      </c>
      <c r="V27" s="712"/>
      <c r="W27" s="712"/>
      <c r="X27" s="716">
        <f>'Kat. 1 U-Wert'!F64</f>
        <v>0.2</v>
      </c>
      <c r="Y27" s="716"/>
      <c r="Z27" s="542">
        <f>X6</f>
        <v>1.4</v>
      </c>
      <c r="AA27" s="563"/>
      <c r="AB27" s="563"/>
      <c r="AC27" s="690">
        <f>AO8</f>
        <v>3.5000000000000003E-2</v>
      </c>
      <c r="AD27" s="691"/>
      <c r="AE27" s="562"/>
      <c r="AF27" s="548"/>
      <c r="AG27" s="518"/>
      <c r="AH27" s="485"/>
      <c r="AI27" s="486"/>
      <c r="AJ27" s="486"/>
      <c r="AK27" s="486"/>
      <c r="AL27" s="486"/>
      <c r="AM27" s="486"/>
      <c r="AN27" s="486"/>
      <c r="AO27" s="503"/>
      <c r="AP27" s="688"/>
      <c r="AQ27" s="688"/>
      <c r="AR27" s="688"/>
      <c r="AS27" s="643"/>
      <c r="AT27" s="643"/>
      <c r="AV27" s="642"/>
      <c r="AW27" s="642"/>
    </row>
    <row r="28" spans="1:49" ht="32.25" customHeight="1" x14ac:dyDescent="0.25">
      <c r="A28" s="21"/>
      <c r="O28" s="441">
        <f>Q28*S28</f>
        <v>21.8</v>
      </c>
      <c r="P28" s="638" t="s">
        <v>257</v>
      </c>
      <c r="Q28" s="641">
        <f>X27</f>
        <v>0.2</v>
      </c>
      <c r="R28" s="640" t="s">
        <v>248</v>
      </c>
      <c r="S28" s="665">
        <f>ROUNDUP(Z4,0)</f>
        <v>109</v>
      </c>
      <c r="T28" s="2"/>
      <c r="U28" s="568" t="s">
        <v>457</v>
      </c>
      <c r="V28" s="568"/>
      <c r="W28" s="568"/>
      <c r="X28" s="537" t="s">
        <v>456</v>
      </c>
      <c r="Y28" s="537"/>
      <c r="Z28" s="547" t="s">
        <v>454</v>
      </c>
      <c r="AA28" s="474"/>
      <c r="AB28" s="474"/>
      <c r="AC28" s="547" t="s">
        <v>453</v>
      </c>
      <c r="AD28" s="474"/>
      <c r="AE28" s="561" t="s">
        <v>366</v>
      </c>
      <c r="AF28" s="547" t="s">
        <v>367</v>
      </c>
      <c r="AG28" s="475"/>
      <c r="AH28" s="482" t="s">
        <v>394</v>
      </c>
      <c r="AI28" s="483"/>
      <c r="AJ28" s="483"/>
      <c r="AK28" s="483"/>
      <c r="AL28" s="483"/>
      <c r="AM28" s="483"/>
      <c r="AN28" s="483"/>
      <c r="AO28" s="505"/>
      <c r="AP28" s="688"/>
      <c r="AQ28" s="688"/>
      <c r="AR28" s="688"/>
      <c r="AS28" s="643"/>
      <c r="AT28" s="643"/>
      <c r="AV28" s="642"/>
      <c r="AW28" s="642"/>
    </row>
    <row r="29" spans="1:49" ht="18" customHeight="1" x14ac:dyDescent="0.25">
      <c r="A29" s="21"/>
      <c r="O29" s="1"/>
      <c r="P29" s="642"/>
      <c r="Q29" s="642"/>
      <c r="R29" s="643"/>
      <c r="S29" s="710"/>
      <c r="T29" s="216"/>
      <c r="U29" s="696"/>
      <c r="V29" s="163"/>
      <c r="W29" s="163"/>
      <c r="X29" s="163"/>
      <c r="Y29" s="163"/>
      <c r="Z29" s="163"/>
      <c r="AA29" s="163"/>
      <c r="AB29" s="163"/>
      <c r="AC29" s="163"/>
      <c r="AD29" s="54"/>
      <c r="AE29" s="562"/>
      <c r="AF29" s="548"/>
      <c r="AG29" s="518"/>
      <c r="AH29" s="484"/>
      <c r="AI29" s="637"/>
      <c r="AJ29" s="637"/>
      <c r="AK29" s="637"/>
      <c r="AL29" s="637"/>
      <c r="AM29" s="637"/>
      <c r="AN29" s="637"/>
      <c r="AO29" s="455"/>
      <c r="AP29" s="688"/>
      <c r="AQ29" s="688"/>
      <c r="AR29" s="688"/>
      <c r="AS29" s="643"/>
      <c r="AT29" s="643"/>
      <c r="AV29" s="642"/>
      <c r="AW29" s="642"/>
    </row>
    <row r="30" spans="1:49" ht="18" customHeight="1" x14ac:dyDescent="0.25">
      <c r="A30" s="21"/>
      <c r="O30" s="1"/>
      <c r="P30" s="642"/>
      <c r="Q30" s="642"/>
      <c r="R30" s="639"/>
      <c r="S30" s="639"/>
      <c r="T30" s="366"/>
      <c r="U30" s="482" t="s">
        <v>445</v>
      </c>
      <c r="V30" s="483"/>
      <c r="W30" s="261" t="s">
        <v>257</v>
      </c>
      <c r="X30" s="483" t="s">
        <v>446</v>
      </c>
      <c r="Y30" s="483"/>
      <c r="Z30" s="261" t="s">
        <v>188</v>
      </c>
      <c r="AA30" s="483" t="s">
        <v>447</v>
      </c>
      <c r="AB30" s="483"/>
      <c r="AC30" s="261" t="s">
        <v>248</v>
      </c>
      <c r="AD30" s="56" t="s">
        <v>448</v>
      </c>
      <c r="AE30" s="554" t="s">
        <v>387</v>
      </c>
      <c r="AF30" s="547" t="s">
        <v>388</v>
      </c>
      <c r="AG30" s="475"/>
      <c r="AH30" s="484" t="s">
        <v>394</v>
      </c>
      <c r="AI30" s="637"/>
      <c r="AJ30" s="637"/>
      <c r="AK30" s="637"/>
      <c r="AL30" s="637"/>
      <c r="AM30" s="637"/>
      <c r="AN30" s="637"/>
      <c r="AO30" s="455"/>
      <c r="AP30" s="688"/>
      <c r="AQ30" s="688"/>
      <c r="AR30" s="688"/>
      <c r="AS30" s="688"/>
      <c r="AT30" s="688"/>
      <c r="AU30" s="671"/>
      <c r="AV30" s="671"/>
      <c r="AW30" s="642"/>
    </row>
    <row r="31" spans="1:49" ht="17.25" customHeight="1" x14ac:dyDescent="0.25">
      <c r="A31" s="21"/>
      <c r="O31" s="1"/>
      <c r="P31" s="642"/>
      <c r="Q31" s="642"/>
      <c r="R31" s="639"/>
      <c r="S31" s="639"/>
      <c r="T31" s="366"/>
      <c r="U31" s="647">
        <f>(X31-AA31)*AD31</f>
        <v>0.15000000000000002</v>
      </c>
      <c r="V31" s="552"/>
      <c r="W31" s="288" t="s">
        <v>257</v>
      </c>
      <c r="X31" s="552">
        <f>1/X27</f>
        <v>5</v>
      </c>
      <c r="Y31" s="552"/>
      <c r="Z31" s="288" t="s">
        <v>188</v>
      </c>
      <c r="AA31" s="552">
        <f>1/Z27</f>
        <v>0.7142857142857143</v>
      </c>
      <c r="AB31" s="552"/>
      <c r="AC31" s="288" t="s">
        <v>248</v>
      </c>
      <c r="AD31" s="439">
        <f>AC27</f>
        <v>3.5000000000000003E-2</v>
      </c>
      <c r="AE31" s="554"/>
      <c r="AF31" s="465"/>
      <c r="AG31" s="467"/>
      <c r="AH31" s="484"/>
      <c r="AI31" s="637"/>
      <c r="AJ31" s="637"/>
      <c r="AK31" s="637"/>
      <c r="AL31" s="637"/>
      <c r="AM31" s="637"/>
      <c r="AN31" s="637"/>
      <c r="AO31" s="455"/>
      <c r="AP31" s="688"/>
      <c r="AQ31" s="688"/>
      <c r="AR31" s="688"/>
      <c r="AS31" s="688"/>
      <c r="AT31" s="688"/>
      <c r="AU31" s="671"/>
      <c r="AV31" s="671"/>
      <c r="AW31" s="642"/>
    </row>
    <row r="32" spans="1:49" ht="17.25" customHeight="1" thickBot="1" x14ac:dyDescent="0.3">
      <c r="A32" s="21"/>
      <c r="O32" s="1"/>
      <c r="P32" s="642"/>
      <c r="Q32" s="642"/>
      <c r="R32" s="639"/>
      <c r="S32" s="639"/>
      <c r="T32" s="366"/>
      <c r="U32" s="639"/>
      <c r="V32" s="639"/>
      <c r="W32" s="639"/>
      <c r="X32" s="639"/>
      <c r="Y32" s="639"/>
      <c r="Z32" s="639"/>
      <c r="AA32" s="653"/>
      <c r="AB32" s="653"/>
      <c r="AC32" s="653"/>
      <c r="AD32" s="653"/>
      <c r="AE32" s="555"/>
      <c r="AF32" s="461"/>
      <c r="AG32" s="463"/>
      <c r="AH32" s="657"/>
      <c r="AI32" s="459"/>
      <c r="AJ32" s="459"/>
      <c r="AK32" s="459"/>
      <c r="AL32" s="459"/>
      <c r="AM32" s="459"/>
      <c r="AN32" s="459"/>
      <c r="AO32" s="570"/>
      <c r="AP32" s="688"/>
      <c r="AQ32" s="688"/>
      <c r="AR32" s="688"/>
      <c r="AS32" s="688"/>
      <c r="AT32" s="688"/>
      <c r="AU32" s="671"/>
      <c r="AV32" s="671"/>
      <c r="AW32" s="642"/>
    </row>
    <row r="33" spans="1:49" ht="16.5" customHeight="1" thickBot="1" x14ac:dyDescent="0.3">
      <c r="A33" s="21"/>
      <c r="O33" s="802" t="s">
        <v>310</v>
      </c>
      <c r="P33" s="803"/>
      <c r="Q33" s="803"/>
      <c r="R33" s="803"/>
      <c r="S33" s="803"/>
      <c r="T33" s="803"/>
      <c r="U33" s="803"/>
      <c r="V33" s="803"/>
      <c r="W33" s="803"/>
      <c r="X33" s="803"/>
      <c r="Y33" s="803"/>
      <c r="Z33" s="803"/>
      <c r="AA33" s="803"/>
      <c r="AB33" s="803"/>
      <c r="AC33" s="803"/>
      <c r="AD33" s="803"/>
      <c r="AE33" s="803"/>
      <c r="AF33" s="803"/>
      <c r="AG33" s="803"/>
      <c r="AH33" s="803"/>
      <c r="AI33" s="803"/>
      <c r="AJ33" s="803"/>
      <c r="AK33" s="803"/>
      <c r="AL33" s="803"/>
      <c r="AM33" s="803"/>
      <c r="AN33" s="803"/>
      <c r="AO33" s="804"/>
      <c r="AP33" s="715"/>
      <c r="AQ33" s="715"/>
      <c r="AR33" s="715"/>
      <c r="AS33" s="715"/>
      <c r="AT33" s="715"/>
      <c r="AU33" s="671"/>
      <c r="AV33" s="671"/>
      <c r="AW33" s="642"/>
    </row>
    <row r="34" spans="1:49" ht="16.5" customHeight="1" thickBot="1" x14ac:dyDescent="0.3">
      <c r="A34" s="21"/>
      <c r="P34" s="671"/>
      <c r="Q34" s="671"/>
      <c r="R34" s="671"/>
      <c r="S34" s="671"/>
      <c r="T34" s="671"/>
      <c r="U34" s="671"/>
      <c r="V34" s="671"/>
      <c r="W34" s="671"/>
      <c r="X34" s="671"/>
      <c r="Y34" s="671"/>
      <c r="Z34" s="671"/>
      <c r="AA34" s="671"/>
      <c r="AB34" s="671"/>
      <c r="AC34" s="671"/>
      <c r="AD34" s="671"/>
      <c r="AE34" s="671"/>
      <c r="AF34" s="671"/>
      <c r="AG34" s="671"/>
      <c r="AH34" s="717"/>
      <c r="AI34" s="671"/>
      <c r="AJ34" s="671"/>
      <c r="AK34" s="671"/>
      <c r="AL34" s="671"/>
      <c r="AM34" s="671"/>
      <c r="AN34" s="671"/>
      <c r="AO34" s="671"/>
      <c r="AP34" s="671"/>
      <c r="AQ34" s="671"/>
      <c r="AR34" s="671"/>
      <c r="AS34" s="671"/>
      <c r="AT34" s="671"/>
      <c r="AU34" s="671"/>
      <c r="AV34" s="671"/>
    </row>
    <row r="35" spans="1:49" ht="27" customHeight="1" x14ac:dyDescent="0.25">
      <c r="A35" s="21"/>
      <c r="O35" s="482" t="s">
        <v>498</v>
      </c>
      <c r="P35" s="483"/>
      <c r="Q35" s="483"/>
      <c r="R35" s="483"/>
      <c r="S35" s="483"/>
      <c r="T35" s="553"/>
      <c r="U35" s="482"/>
      <c r="V35" s="483"/>
      <c r="W35" s="553"/>
      <c r="X35" s="474" t="s">
        <v>450</v>
      </c>
      <c r="Y35" s="475"/>
      <c r="Z35" s="547" t="s">
        <v>449</v>
      </c>
      <c r="AA35" s="474"/>
      <c r="AB35" s="475"/>
      <c r="AC35" s="547"/>
      <c r="AD35" s="474"/>
      <c r="AE35" s="575" t="s">
        <v>355</v>
      </c>
      <c r="AF35" s="576"/>
      <c r="AG35" s="577"/>
      <c r="AH35" s="656"/>
      <c r="AI35" s="578"/>
      <c r="AJ35" s="578"/>
      <c r="AK35" s="578"/>
      <c r="AL35" s="578"/>
      <c r="AM35" s="578"/>
      <c r="AN35" s="578"/>
      <c r="AO35" s="579"/>
      <c r="AP35" s="715"/>
      <c r="AQ35" s="715"/>
      <c r="AR35" s="671"/>
      <c r="AS35" s="671"/>
      <c r="AT35" s="671"/>
      <c r="AU35" s="671"/>
      <c r="AV35" s="671"/>
    </row>
    <row r="36" spans="1:49" ht="28.5" customHeight="1" x14ac:dyDescent="0.25">
      <c r="A36" s="21"/>
      <c r="O36" s="484" t="s">
        <v>69</v>
      </c>
      <c r="P36" s="637"/>
      <c r="Q36" s="637"/>
      <c r="R36" s="637"/>
      <c r="S36" s="637"/>
      <c r="T36" s="464"/>
      <c r="U36" s="484"/>
      <c r="V36" s="637"/>
      <c r="W36" s="464"/>
      <c r="X36" s="502" t="s">
        <v>64</v>
      </c>
      <c r="Y36" s="518"/>
      <c r="Z36" s="548" t="s">
        <v>64</v>
      </c>
      <c r="AA36" s="502"/>
      <c r="AB36" s="518"/>
      <c r="AC36" s="465"/>
      <c r="AD36" s="652"/>
      <c r="AE36" s="561" t="s">
        <v>356</v>
      </c>
      <c r="AF36" s="547" t="s">
        <v>353</v>
      </c>
      <c r="AG36" s="475"/>
      <c r="AH36" s="482" t="s">
        <v>370</v>
      </c>
      <c r="AI36" s="483"/>
      <c r="AJ36" s="483"/>
      <c r="AK36" s="483"/>
      <c r="AL36" s="483"/>
      <c r="AM36" s="483"/>
      <c r="AN36" s="483"/>
      <c r="AO36" s="505"/>
      <c r="AP36" s="688"/>
      <c r="AQ36" s="688"/>
      <c r="AR36" s="671"/>
      <c r="AS36" s="671"/>
      <c r="AT36" s="671"/>
      <c r="AU36" s="671"/>
      <c r="AV36" s="671"/>
    </row>
    <row r="37" spans="1:49" ht="21" customHeight="1" x14ac:dyDescent="0.25">
      <c r="A37" s="21"/>
      <c r="O37" s="440" t="s">
        <v>260</v>
      </c>
      <c r="P37" s="638" t="s">
        <v>257</v>
      </c>
      <c r="Q37" s="639" t="s">
        <v>256</v>
      </c>
      <c r="R37" s="640" t="s">
        <v>248</v>
      </c>
      <c r="S37" s="639" t="s">
        <v>258</v>
      </c>
      <c r="U37" s="484"/>
      <c r="V37" s="637"/>
      <c r="W37" s="464"/>
      <c r="X37" s="700">
        <f>'Kat. 1 U-Wert'!F73</f>
        <v>0.95</v>
      </c>
      <c r="Y37" s="701"/>
      <c r="Z37" s="699">
        <f>Z19</f>
        <v>2.7</v>
      </c>
      <c r="AA37" s="709"/>
      <c r="AB37" s="727"/>
      <c r="AC37" s="465"/>
      <c r="AD37" s="652"/>
      <c r="AE37" s="562"/>
      <c r="AF37" s="548"/>
      <c r="AG37" s="518"/>
      <c r="AH37" s="485"/>
      <c r="AI37" s="486"/>
      <c r="AJ37" s="486"/>
      <c r="AK37" s="486"/>
      <c r="AL37" s="486"/>
      <c r="AM37" s="486"/>
      <c r="AN37" s="486"/>
      <c r="AO37" s="503"/>
      <c r="AP37" s="688"/>
      <c r="AQ37" s="688"/>
      <c r="AR37" s="671"/>
      <c r="AS37" s="671"/>
      <c r="AT37" s="671"/>
      <c r="AU37" s="671"/>
      <c r="AV37" s="671"/>
    </row>
    <row r="38" spans="1:49" ht="30.75" customHeight="1" x14ac:dyDescent="0.25">
      <c r="A38" s="21"/>
      <c r="O38" s="441">
        <f>Q38*S38</f>
        <v>55.394499999999994</v>
      </c>
      <c r="P38" s="638" t="s">
        <v>257</v>
      </c>
      <c r="Q38" s="702">
        <f>X37</f>
        <v>0.95</v>
      </c>
      <c r="R38" s="640" t="s">
        <v>248</v>
      </c>
      <c r="S38" s="703">
        <f>Z17</f>
        <v>58.309999999999995</v>
      </c>
      <c r="U38" s="484"/>
      <c r="V38" s="637"/>
      <c r="W38" s="464"/>
      <c r="X38" s="545" t="s">
        <v>456</v>
      </c>
      <c r="Y38" s="545"/>
      <c r="Z38" s="542" t="s">
        <v>454</v>
      </c>
      <c r="AA38" s="563"/>
      <c r="AB38" s="479"/>
      <c r="AC38" s="465"/>
      <c r="AD38" s="652"/>
      <c r="AE38" s="536" t="s">
        <v>357</v>
      </c>
      <c r="AF38" s="547" t="s">
        <v>358</v>
      </c>
      <c r="AG38" s="475"/>
      <c r="AH38" s="482" t="s">
        <v>371</v>
      </c>
      <c r="AI38" s="483"/>
      <c r="AJ38" s="483"/>
      <c r="AK38" s="483"/>
      <c r="AL38" s="483"/>
      <c r="AM38" s="483"/>
      <c r="AN38" s="483"/>
      <c r="AO38" s="505"/>
      <c r="AP38" s="688"/>
      <c r="AQ38" s="688"/>
      <c r="AR38" s="671"/>
      <c r="AS38" s="671"/>
      <c r="AT38" s="671"/>
      <c r="AU38" s="671"/>
      <c r="AV38" s="671"/>
    </row>
    <row r="39" spans="1:49" ht="15" customHeight="1" thickBot="1" x14ac:dyDescent="0.3">
      <c r="A39" s="21"/>
      <c r="O39" s="5"/>
      <c r="P39" s="662"/>
      <c r="Q39" s="638"/>
      <c r="R39" s="639"/>
      <c r="S39" s="640"/>
      <c r="T39" s="639"/>
      <c r="U39" s="484"/>
      <c r="V39" s="637"/>
      <c r="W39" s="464"/>
      <c r="X39" s="643"/>
      <c r="Z39" s="639"/>
      <c r="AA39" s="653"/>
      <c r="AB39" s="653"/>
      <c r="AC39" s="465"/>
      <c r="AD39" s="652"/>
      <c r="AE39" s="705"/>
      <c r="AF39" s="465"/>
      <c r="AG39" s="467"/>
      <c r="AH39" s="484"/>
      <c r="AI39" s="637"/>
      <c r="AJ39" s="637"/>
      <c r="AK39" s="637"/>
      <c r="AL39" s="637"/>
      <c r="AM39" s="637"/>
      <c r="AN39" s="637"/>
      <c r="AO39" s="455"/>
      <c r="AP39" s="688"/>
      <c r="AQ39" s="688"/>
      <c r="AR39" s="671"/>
      <c r="AS39" s="671"/>
      <c r="AT39" s="671"/>
      <c r="AU39" s="671"/>
      <c r="AV39" s="671"/>
    </row>
    <row r="40" spans="1:49" ht="15.75" thickBot="1" x14ac:dyDescent="0.3">
      <c r="A40" s="21"/>
      <c r="O40" s="802" t="s">
        <v>310</v>
      </c>
      <c r="P40" s="803"/>
      <c r="Q40" s="803"/>
      <c r="R40" s="803"/>
      <c r="S40" s="803"/>
      <c r="T40" s="803"/>
      <c r="U40" s="803"/>
      <c r="V40" s="803"/>
      <c r="W40" s="803"/>
      <c r="X40" s="803"/>
      <c r="Y40" s="803"/>
      <c r="Z40" s="803"/>
      <c r="AA40" s="803"/>
      <c r="AB40" s="803"/>
      <c r="AC40" s="803"/>
      <c r="AD40" s="803"/>
      <c r="AE40" s="803"/>
      <c r="AF40" s="803"/>
      <c r="AG40" s="803"/>
      <c r="AH40" s="803"/>
      <c r="AI40" s="803"/>
      <c r="AJ40" s="803"/>
      <c r="AK40" s="803"/>
      <c r="AL40" s="803"/>
      <c r="AM40" s="803"/>
      <c r="AN40" s="803"/>
      <c r="AO40" s="804"/>
      <c r="AP40" s="715"/>
      <c r="AQ40" s="715"/>
      <c r="AR40" s="715"/>
      <c r="AS40" s="715"/>
      <c r="AT40" s="715"/>
      <c r="AU40" s="671"/>
      <c r="AV40" s="671"/>
    </row>
    <row r="41" spans="1:49" ht="15.75" thickBot="1" x14ac:dyDescent="0.3">
      <c r="A41" s="24"/>
      <c r="B41" s="29"/>
      <c r="C41" s="29"/>
      <c r="D41" s="29"/>
      <c r="E41" s="29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671"/>
      <c r="AS41" s="671"/>
      <c r="AT41" s="671"/>
      <c r="AU41" s="671"/>
      <c r="AV41" s="671"/>
    </row>
    <row r="42" spans="1:49" x14ac:dyDescent="0.25">
      <c r="AR42" s="671"/>
      <c r="AS42" s="671"/>
      <c r="AT42" s="671"/>
      <c r="AU42" s="671"/>
      <c r="AV42" s="671"/>
    </row>
    <row r="43" spans="1:49" x14ac:dyDescent="0.25">
      <c r="AR43" s="671"/>
      <c r="AS43" s="671"/>
      <c r="AT43" s="671"/>
      <c r="AU43" s="671"/>
      <c r="AV43" s="671"/>
    </row>
  </sheetData>
  <mergeCells count="86">
    <mergeCell ref="O40:AO40"/>
    <mergeCell ref="O35:T35"/>
    <mergeCell ref="O36:T36"/>
    <mergeCell ref="U35:W39"/>
    <mergeCell ref="Z35:AB35"/>
    <mergeCell ref="Z36:AB36"/>
    <mergeCell ref="Z37:AB37"/>
    <mergeCell ref="Z38:AB38"/>
    <mergeCell ref="AH30:AO32"/>
    <mergeCell ref="AH36:AO37"/>
    <mergeCell ref="AH38:AO39"/>
    <mergeCell ref="AH35:AO35"/>
    <mergeCell ref="O33:AO33"/>
    <mergeCell ref="AH25:AO25"/>
    <mergeCell ref="AH26:AO27"/>
    <mergeCell ref="AH28:AO29"/>
    <mergeCell ref="O26:T26"/>
    <mergeCell ref="O25:T25"/>
    <mergeCell ref="P3:W4"/>
    <mergeCell ref="P6:W6"/>
    <mergeCell ref="AC3:AD21"/>
    <mergeCell ref="P16:W17"/>
    <mergeCell ref="P18:W18"/>
    <mergeCell ref="U25:W25"/>
    <mergeCell ref="U26:W26"/>
    <mergeCell ref="U27:W27"/>
    <mergeCell ref="U28:W28"/>
    <mergeCell ref="X38:Y38"/>
    <mergeCell ref="AE38:AE39"/>
    <mergeCell ref="AF38:AG39"/>
    <mergeCell ref="X35:Y35"/>
    <mergeCell ref="AC35:AD39"/>
    <mergeCell ref="AE35:AG35"/>
    <mergeCell ref="X36:Y36"/>
    <mergeCell ref="AE36:AE37"/>
    <mergeCell ref="AF36:AG37"/>
    <mergeCell ref="X37:Y37"/>
    <mergeCell ref="AF28:AG29"/>
    <mergeCell ref="X30:Y30"/>
    <mergeCell ref="AA30:AB30"/>
    <mergeCell ref="AE30:AE32"/>
    <mergeCell ref="AF30:AG32"/>
    <mergeCell ref="X31:Y31"/>
    <mergeCell ref="AA31:AB31"/>
    <mergeCell ref="Z28:AB28"/>
    <mergeCell ref="U30:V30"/>
    <mergeCell ref="U31:V31"/>
    <mergeCell ref="X28:Y28"/>
    <mergeCell ref="AC28:AD28"/>
    <mergeCell ref="AE28:AE29"/>
    <mergeCell ref="X26:Y26"/>
    <mergeCell ref="AE26:AE27"/>
    <mergeCell ref="AF26:AG27"/>
    <mergeCell ref="X27:Y27"/>
    <mergeCell ref="Z25:AB25"/>
    <mergeCell ref="Z26:AB26"/>
    <mergeCell ref="Z27:AB27"/>
    <mergeCell ref="AC25:AD25"/>
    <mergeCell ref="AC26:AD26"/>
    <mergeCell ref="AC27:AD27"/>
    <mergeCell ref="AE25:AG25"/>
    <mergeCell ref="AE16:AF17"/>
    <mergeCell ref="X25:Y25"/>
    <mergeCell ref="AE2:AF2"/>
    <mergeCell ref="AG2:AO2"/>
    <mergeCell ref="H3:N3"/>
    <mergeCell ref="X3:AB3"/>
    <mergeCell ref="AE3:AF4"/>
    <mergeCell ref="AG21:AO21"/>
    <mergeCell ref="H5:N5"/>
    <mergeCell ref="X5:AB5"/>
    <mergeCell ref="AG5:AO5"/>
    <mergeCell ref="X16:AB16"/>
    <mergeCell ref="X18:AB18"/>
    <mergeCell ref="AG7:AI7"/>
    <mergeCell ref="AG8:AI8"/>
    <mergeCell ref="AJ7:AL7"/>
    <mergeCell ref="AM7:AN7"/>
    <mergeCell ref="AE5:AF5"/>
    <mergeCell ref="AG6:AM6"/>
    <mergeCell ref="AE18:AF18"/>
    <mergeCell ref="AK11:AM11"/>
    <mergeCell ref="AK12:AM12"/>
    <mergeCell ref="AG18:AK18"/>
    <mergeCell ref="AG19:AO19"/>
    <mergeCell ref="AG20:AO20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0BC3-2D90-4A48-8563-40A1485F6950}">
  <dimension ref="A1:AT26"/>
  <sheetViews>
    <sheetView topLeftCell="G13" zoomScaleNormal="100" workbookViewId="0">
      <selection activeCell="AE20" sqref="AE20:AE21"/>
    </sheetView>
  </sheetViews>
  <sheetFormatPr baseColWidth="10" defaultRowHeight="15" outlineLevelCol="1" x14ac:dyDescent="0.25"/>
  <cols>
    <col min="1" max="1" width="106" customWidth="1"/>
    <col min="2" max="3" width="19.28515625" style="28" customWidth="1" outlineLevel="1"/>
    <col min="4" max="5" width="18.85546875" style="28" customWidth="1" outlineLevel="1"/>
    <col min="6" max="6" width="18.85546875" customWidth="1" outlineLevel="1"/>
    <col min="7" max="7" width="28.42578125" customWidth="1" outlineLevel="1"/>
    <col min="8" max="8" width="6" customWidth="1" outlineLevel="1"/>
    <col min="9" max="9" width="2.140625" customWidth="1" outlineLevel="1"/>
    <col min="10" max="10" width="5" customWidth="1" outlineLevel="1"/>
    <col min="11" max="11" width="2.85546875" customWidth="1" outlineLevel="1"/>
    <col min="12" max="12" width="5.7109375" customWidth="1" outlineLevel="1"/>
    <col min="13" max="13" width="2.28515625" customWidth="1" outlineLevel="1"/>
    <col min="14" max="14" width="4.28515625" customWidth="1" outlineLevel="1"/>
    <col min="15" max="15" width="6.5703125" customWidth="1" outlineLevel="1"/>
    <col min="16" max="16" width="2.7109375" customWidth="1" outlineLevel="1"/>
    <col min="17" max="17" width="6.28515625" customWidth="1" outlineLevel="1"/>
    <col min="18" max="18" width="1.85546875" customWidth="1" outlineLevel="1"/>
    <col min="19" max="19" width="5.140625" customWidth="1" outlineLevel="1"/>
    <col min="20" max="20" width="1.7109375" customWidth="1" outlineLevel="1"/>
    <col min="21" max="21" width="6.140625" customWidth="1" outlineLevel="1"/>
    <col min="22" max="22" width="1.42578125" customWidth="1" outlineLevel="1"/>
    <col min="23" max="23" width="5.85546875" customWidth="1" outlineLevel="1"/>
    <col min="24" max="24" width="8.140625" customWidth="1" outlineLevel="1"/>
    <col min="25" max="25" width="2.5703125" customWidth="1" outlineLevel="1"/>
    <col min="26" max="26" width="5.5703125" customWidth="1" outlineLevel="1"/>
    <col min="27" max="27" width="2.5703125" customWidth="1" outlineLevel="1"/>
    <col min="28" max="28" width="5.42578125" customWidth="1" outlineLevel="1"/>
    <col min="29" max="29" width="2.28515625" customWidth="1" outlineLevel="1"/>
    <col min="30" max="30" width="12.5703125" customWidth="1" outlineLevel="1"/>
    <col min="31" max="31" width="39.85546875" customWidth="1" outlineLevel="1"/>
    <col min="32" max="32" width="17.7109375" customWidth="1" outlineLevel="1"/>
    <col min="33" max="33" width="13.42578125" customWidth="1"/>
    <col min="34" max="34" width="2" customWidth="1"/>
    <col min="35" max="35" width="5.28515625" customWidth="1"/>
    <col min="36" max="36" width="2.7109375" customWidth="1"/>
    <col min="38" max="38" width="3.7109375" customWidth="1"/>
    <col min="39" max="39" width="12.140625" customWidth="1"/>
    <col min="40" max="40" width="3.42578125" customWidth="1"/>
    <col min="41" max="41" width="14" customWidth="1"/>
    <col min="42" max="42" width="2" customWidth="1"/>
    <col min="43" max="43" width="16.85546875" customWidth="1"/>
    <col min="44" max="44" width="19.5703125" customWidth="1"/>
  </cols>
  <sheetData>
    <row r="1" spans="1:46" ht="15.75" thickBot="1" x14ac:dyDescent="0.3"/>
    <row r="2" spans="1:46" ht="16.5" thickBot="1" x14ac:dyDescent="0.3">
      <c r="A2" s="21"/>
      <c r="B2" s="41"/>
      <c r="C2" s="44"/>
      <c r="D2" s="41"/>
      <c r="E2" s="41"/>
      <c r="F2" s="23"/>
      <c r="AE2" s="571" t="s">
        <v>0</v>
      </c>
      <c r="AF2" s="572"/>
      <c r="AG2" s="571" t="s">
        <v>1</v>
      </c>
      <c r="AH2" s="573"/>
      <c r="AI2" s="573"/>
      <c r="AJ2" s="573"/>
      <c r="AK2" s="573"/>
      <c r="AL2" s="573"/>
      <c r="AM2" s="573"/>
      <c r="AN2" s="573"/>
      <c r="AO2" s="572"/>
    </row>
    <row r="3" spans="1:46" ht="25.5" customHeight="1" x14ac:dyDescent="0.25">
      <c r="A3" s="21"/>
      <c r="B3" s="34" t="s">
        <v>84</v>
      </c>
      <c r="C3" s="49" t="s">
        <v>53</v>
      </c>
      <c r="D3" s="34" t="s">
        <v>52</v>
      </c>
      <c r="E3" s="50" t="s">
        <v>50</v>
      </c>
      <c r="F3" s="17"/>
      <c r="G3" s="287" t="s">
        <v>60</v>
      </c>
      <c r="H3" s="483" t="s">
        <v>267</v>
      </c>
      <c r="I3" s="483"/>
      <c r="J3" s="483"/>
      <c r="K3" s="483"/>
      <c r="L3" s="483"/>
      <c r="M3" s="483"/>
      <c r="N3" s="505"/>
      <c r="O3" s="53"/>
      <c r="P3" s="53"/>
      <c r="Q3" s="450" t="s">
        <v>68</v>
      </c>
      <c r="R3" s="451"/>
      <c r="S3" s="451"/>
      <c r="T3" s="451"/>
      <c r="U3" s="451"/>
      <c r="V3" s="451"/>
      <c r="W3" s="452"/>
      <c r="X3" s="450" t="s">
        <v>247</v>
      </c>
      <c r="Y3" s="451"/>
      <c r="Z3" s="451"/>
      <c r="AA3" s="451"/>
      <c r="AB3" s="451"/>
      <c r="AC3" s="450"/>
      <c r="AD3" s="452"/>
      <c r="AE3" s="447" t="s">
        <v>373</v>
      </c>
      <c r="AF3" s="492"/>
      <c r="AG3" s="145" t="s">
        <v>122</v>
      </c>
      <c r="AH3" s="218"/>
      <c r="AI3" s="218"/>
      <c r="AJ3" s="218"/>
      <c r="AK3" s="220" t="s">
        <v>261</v>
      </c>
      <c r="AL3" s="218"/>
      <c r="AM3" s="349">
        <v>70</v>
      </c>
      <c r="AN3" s="218" t="s">
        <v>62</v>
      </c>
      <c r="AO3" s="219"/>
    </row>
    <row r="4" spans="1:46" ht="19.5" customHeight="1" x14ac:dyDescent="0.25">
      <c r="A4" s="21"/>
      <c r="B4" s="41"/>
      <c r="C4" s="41"/>
      <c r="D4" s="41"/>
      <c r="E4" s="41"/>
      <c r="F4" s="30"/>
      <c r="G4" s="216" t="s">
        <v>80</v>
      </c>
      <c r="H4" s="53"/>
      <c r="I4" s="53"/>
      <c r="J4" s="53"/>
      <c r="K4" s="53"/>
      <c r="L4" s="53"/>
      <c r="M4" s="53"/>
      <c r="N4" s="139"/>
      <c r="O4" s="53"/>
      <c r="P4" s="53"/>
      <c r="Q4" s="211"/>
      <c r="R4" s="643"/>
      <c r="S4" s="643"/>
      <c r="T4" s="643"/>
      <c r="U4" s="643"/>
      <c r="V4" s="643"/>
      <c r="W4" s="212"/>
      <c r="X4" s="226" t="s">
        <v>364</v>
      </c>
      <c r="Y4" s="288" t="s">
        <v>257</v>
      </c>
      <c r="Z4" s="295">
        <f>AM3</f>
        <v>70</v>
      </c>
      <c r="AA4" s="23"/>
      <c r="AB4" s="643"/>
      <c r="AC4" s="453"/>
      <c r="AD4" s="455"/>
      <c r="AE4" s="650"/>
      <c r="AF4" s="574"/>
      <c r="AG4" s="81"/>
      <c r="AH4" s="11"/>
      <c r="AI4" s="221"/>
      <c r="AJ4" s="11"/>
      <c r="AK4" s="11"/>
      <c r="AL4" s="11"/>
      <c r="AM4" s="222"/>
      <c r="AN4" s="11"/>
      <c r="AO4" s="67"/>
    </row>
    <row r="5" spans="1:46" ht="18.75" customHeight="1" x14ac:dyDescent="0.25">
      <c r="A5" s="21"/>
      <c r="F5" s="8"/>
      <c r="G5" s="2"/>
      <c r="H5" s="454" t="s">
        <v>246</v>
      </c>
      <c r="I5" s="454"/>
      <c r="J5" s="454"/>
      <c r="K5" s="454"/>
      <c r="L5" s="454"/>
      <c r="M5" s="454"/>
      <c r="N5" s="455"/>
      <c r="O5" s="53"/>
      <c r="P5" s="53"/>
      <c r="Q5" s="453" t="s">
        <v>69</v>
      </c>
      <c r="R5" s="637"/>
      <c r="S5" s="637"/>
      <c r="T5" s="637"/>
      <c r="U5" s="637"/>
      <c r="V5" s="637"/>
      <c r="W5" s="455"/>
      <c r="X5" s="504" t="s">
        <v>116</v>
      </c>
      <c r="Y5" s="483"/>
      <c r="Z5" s="483"/>
      <c r="AA5" s="483"/>
      <c r="AB5" s="483"/>
      <c r="AC5" s="453"/>
      <c r="AD5" s="455"/>
      <c r="AE5" s="510" t="s">
        <v>361</v>
      </c>
      <c r="AF5" s="511"/>
      <c r="AG5" s="529" t="s">
        <v>123</v>
      </c>
      <c r="AH5" s="510"/>
      <c r="AI5" s="510"/>
      <c r="AJ5" s="510"/>
      <c r="AK5" s="510"/>
      <c r="AL5" s="510"/>
      <c r="AM5" s="510"/>
      <c r="AN5" s="510"/>
      <c r="AO5" s="511"/>
    </row>
    <row r="6" spans="1:46" ht="18" customHeight="1" x14ac:dyDescent="0.25">
      <c r="A6" s="21"/>
      <c r="F6" s="8"/>
      <c r="G6" s="2"/>
      <c r="H6" s="23"/>
      <c r="I6" s="23"/>
      <c r="J6" s="23"/>
      <c r="K6" s="23"/>
      <c r="L6" s="23"/>
      <c r="M6" s="23"/>
      <c r="N6" s="212"/>
      <c r="O6" s="23"/>
      <c r="P6" s="23"/>
      <c r="Q6" s="226" t="s">
        <v>260</v>
      </c>
      <c r="R6" s="638" t="s">
        <v>257</v>
      </c>
      <c r="S6" s="639" t="s">
        <v>256</v>
      </c>
      <c r="T6" s="640" t="s">
        <v>248</v>
      </c>
      <c r="U6" s="648" t="s">
        <v>258</v>
      </c>
      <c r="V6" s="642"/>
      <c r="X6" s="226" t="s">
        <v>256</v>
      </c>
      <c r="Y6" s="305" t="s">
        <v>257</v>
      </c>
      <c r="Z6" s="305" t="s">
        <v>290</v>
      </c>
      <c r="AA6" s="53" t="s">
        <v>250</v>
      </c>
      <c r="AB6" s="648" t="s">
        <v>288</v>
      </c>
      <c r="AC6" s="453"/>
      <c r="AD6" s="455"/>
      <c r="AE6" s="651" t="str">
        <f>'Kat. 1 U-Wert'!B24</f>
        <v>Kellerdecke 
Stahlbeton massiv</v>
      </c>
      <c r="AF6" s="103" t="s">
        <v>380</v>
      </c>
      <c r="AG6" s="79" t="str">
        <f>'Kat. 1 U-Wert'!B24</f>
        <v>Kellerdecke 
Stahlbeton massiv</v>
      </c>
      <c r="AH6" s="16"/>
      <c r="AI6" s="16"/>
      <c r="AJ6" s="16"/>
      <c r="AK6" s="16"/>
      <c r="AL6" s="466" t="s">
        <v>381</v>
      </c>
      <c r="AM6" s="466"/>
      <c r="AN6" s="466"/>
      <c r="AO6" s="494">
        <f>'Kat. 1 U-Wert'!F24</f>
        <v>1</v>
      </c>
    </row>
    <row r="7" spans="1:46" ht="18" customHeight="1" x14ac:dyDescent="0.25">
      <c r="A7" s="21"/>
      <c r="F7" s="8"/>
      <c r="G7" s="2"/>
      <c r="H7" s="23"/>
      <c r="I7" s="23"/>
      <c r="J7" s="23"/>
      <c r="K7" s="23"/>
      <c r="L7" s="23"/>
      <c r="M7" s="23"/>
      <c r="N7" s="212"/>
      <c r="O7" s="23"/>
      <c r="P7" s="23"/>
      <c r="Q7" s="362">
        <f>S7*U7</f>
        <v>70</v>
      </c>
      <c r="R7" s="638" t="s">
        <v>257</v>
      </c>
      <c r="S7" s="641">
        <f>X7</f>
        <v>1</v>
      </c>
      <c r="T7" s="640" t="s">
        <v>248</v>
      </c>
      <c r="U7" s="648">
        <f>Z4</f>
        <v>70</v>
      </c>
      <c r="V7" s="642"/>
      <c r="X7" s="348">
        <f>Z7/AB7</f>
        <v>1</v>
      </c>
      <c r="Y7" s="305" t="s">
        <v>257</v>
      </c>
      <c r="Z7" s="262">
        <v>1</v>
      </c>
      <c r="AA7" s="53" t="s">
        <v>250</v>
      </c>
      <c r="AB7" s="649">
        <f>AG10+AG12</f>
        <v>1</v>
      </c>
      <c r="AC7" s="453"/>
      <c r="AD7" s="455"/>
      <c r="AE7" s="651" t="str">
        <f>'Kat. 1 U-Wert'!B25</f>
        <v>Kellerdecke 
als Holzbalkendecke</v>
      </c>
      <c r="AF7" s="103" t="s">
        <v>379</v>
      </c>
      <c r="AG7" s="456" t="str">
        <f>'Kat. 1 U-Wert'!B25</f>
        <v>Kellerdecke 
als Holzbalkendecke</v>
      </c>
      <c r="AH7" s="444"/>
      <c r="AI7" s="444"/>
      <c r="AJ7" s="444"/>
      <c r="AK7" s="444"/>
      <c r="AL7" s="466" t="s">
        <v>381</v>
      </c>
      <c r="AM7" s="466"/>
      <c r="AN7" s="466"/>
      <c r="AO7" s="494"/>
    </row>
    <row r="8" spans="1:46" ht="18" customHeight="1" thickBot="1" x14ac:dyDescent="0.3">
      <c r="A8" s="21"/>
      <c r="F8" s="18"/>
      <c r="G8" s="4"/>
      <c r="H8" s="149"/>
      <c r="I8" s="149"/>
      <c r="J8" s="149"/>
      <c r="K8" s="149"/>
      <c r="L8" s="149"/>
      <c r="M8" s="149"/>
      <c r="N8" s="279"/>
      <c r="O8" s="23"/>
      <c r="P8" s="23"/>
      <c r="Q8" s="177"/>
      <c r="R8" s="178"/>
      <c r="S8" s="178"/>
      <c r="T8" s="178"/>
      <c r="U8" s="178"/>
      <c r="V8" s="178"/>
      <c r="W8" s="266"/>
      <c r="X8" s="281"/>
      <c r="Y8" s="280"/>
      <c r="Z8" s="178"/>
      <c r="AA8" s="178"/>
      <c r="AB8" s="178"/>
      <c r="AC8" s="458"/>
      <c r="AD8" s="570"/>
      <c r="AE8" s="275" t="str">
        <f>'Kat. 1 U-Wert'!B26</f>
        <v>Boden gegen Erdreich,
Stahlbeton massiv</v>
      </c>
      <c r="AF8" s="273" t="s">
        <v>378</v>
      </c>
      <c r="AG8" s="584" t="s">
        <v>111</v>
      </c>
      <c r="AH8" s="585"/>
      <c r="AI8" s="585"/>
      <c r="AJ8" s="72"/>
      <c r="AK8" s="292">
        <v>0</v>
      </c>
      <c r="AL8" s="180" t="s">
        <v>252</v>
      </c>
      <c r="AM8" s="586" t="s">
        <v>254</v>
      </c>
      <c r="AN8" s="586"/>
      <c r="AO8" s="658">
        <v>0.03</v>
      </c>
    </row>
    <row r="9" spans="1:46" ht="18" x14ac:dyDescent="0.25">
      <c r="A9" s="21"/>
      <c r="H9" s="53"/>
      <c r="I9" s="53"/>
      <c r="J9" s="53"/>
      <c r="K9" s="53"/>
      <c r="L9" s="53"/>
      <c r="M9" s="53"/>
      <c r="N9" s="53"/>
      <c r="O9" s="53"/>
      <c r="P9" s="53"/>
      <c r="AG9" s="301" t="s">
        <v>429</v>
      </c>
      <c r="AH9" s="234" t="s">
        <v>257</v>
      </c>
      <c r="AI9" s="235" t="s">
        <v>284</v>
      </c>
      <c r="AJ9" s="234" t="s">
        <v>255</v>
      </c>
      <c r="AK9" s="55" t="s">
        <v>249</v>
      </c>
      <c r="AL9" s="55" t="s">
        <v>250</v>
      </c>
      <c r="AM9" s="55" t="s">
        <v>287</v>
      </c>
      <c r="AN9" s="255" t="s">
        <v>255</v>
      </c>
      <c r="AO9" s="336" t="s">
        <v>285</v>
      </c>
    </row>
    <row r="10" spans="1:46" x14ac:dyDescent="0.25">
      <c r="A10" s="21"/>
      <c r="H10" s="53"/>
      <c r="I10" s="53"/>
      <c r="J10" s="53"/>
      <c r="K10" s="53"/>
      <c r="L10" s="53"/>
      <c r="M10" s="53"/>
      <c r="N10" s="53"/>
      <c r="O10" s="53"/>
      <c r="P10" s="53"/>
      <c r="AG10" s="339">
        <f>AI10+(AK10/AM10)+AO10</f>
        <v>0</v>
      </c>
      <c r="AH10" s="238" t="s">
        <v>257</v>
      </c>
      <c r="AI10" s="239">
        <f>IF(AK8&gt;0,'Kat. 1 U-Wert'!C48,0)</f>
        <v>0</v>
      </c>
      <c r="AJ10" s="240" t="s">
        <v>255</v>
      </c>
      <c r="AK10" s="239">
        <f>AK8</f>
        <v>0</v>
      </c>
      <c r="AL10" s="89" t="s">
        <v>250</v>
      </c>
      <c r="AM10" s="241">
        <f>AO8</f>
        <v>0.03</v>
      </c>
      <c r="AN10" s="238" t="s">
        <v>255</v>
      </c>
      <c r="AO10" s="337">
        <f>IF(AK8&gt;0,'Kat. 1 U-Wert'!C49,0)</f>
        <v>0</v>
      </c>
    </row>
    <row r="11" spans="1:46" ht="18" x14ac:dyDescent="0.25">
      <c r="A11" s="21"/>
      <c r="H11" s="53"/>
      <c r="I11" s="53"/>
      <c r="J11" s="53"/>
      <c r="K11" s="53"/>
      <c r="L11" s="53"/>
      <c r="M11" s="53"/>
      <c r="N11" s="53"/>
      <c r="O11" s="53"/>
      <c r="P11" s="53"/>
      <c r="AG11" s="301" t="s">
        <v>428</v>
      </c>
      <c r="AH11" s="255" t="s">
        <v>257</v>
      </c>
      <c r="AI11" s="55">
        <v>1</v>
      </c>
      <c r="AJ11" s="55" t="s">
        <v>250</v>
      </c>
      <c r="AK11" s="442" t="s">
        <v>381</v>
      </c>
      <c r="AL11" s="442"/>
      <c r="AM11" s="442"/>
      <c r="AN11" s="58"/>
      <c r="AO11" s="336"/>
    </row>
    <row r="12" spans="1:46" x14ac:dyDescent="0.25">
      <c r="A12" s="21"/>
      <c r="H12" s="53"/>
      <c r="I12" s="53"/>
      <c r="J12" s="53"/>
      <c r="K12" s="53"/>
      <c r="L12" s="53"/>
      <c r="M12" s="53"/>
      <c r="N12" s="53"/>
      <c r="O12" s="53"/>
      <c r="P12" s="53"/>
      <c r="AG12" s="340">
        <f>AI12/AK12</f>
        <v>1</v>
      </c>
      <c r="AH12" s="238" t="s">
        <v>257</v>
      </c>
      <c r="AI12" s="89">
        <v>1</v>
      </c>
      <c r="AJ12" s="89" t="s">
        <v>250</v>
      </c>
      <c r="AK12" s="443">
        <f>AO6</f>
        <v>1</v>
      </c>
      <c r="AL12" s="443"/>
      <c r="AM12" s="443"/>
      <c r="AN12" s="59"/>
      <c r="AO12" s="338"/>
    </row>
    <row r="13" spans="1:46" ht="18" x14ac:dyDescent="0.25">
      <c r="A13" s="21"/>
      <c r="H13" s="53"/>
      <c r="I13" s="53"/>
      <c r="J13" s="53"/>
      <c r="K13" s="53"/>
      <c r="L13" s="53"/>
      <c r="M13" s="53"/>
      <c r="N13" s="53"/>
      <c r="O13" s="53"/>
      <c r="P13" s="53"/>
      <c r="AG13" s="301" t="s">
        <v>427</v>
      </c>
      <c r="AH13" s="255" t="s">
        <v>257</v>
      </c>
      <c r="AI13" s="55"/>
      <c r="AJ13" s="55"/>
      <c r="AK13" s="55" t="s">
        <v>430</v>
      </c>
      <c r="AL13" s="342" t="s">
        <v>255</v>
      </c>
      <c r="AM13" s="55" t="s">
        <v>431</v>
      </c>
      <c r="AN13" s="58"/>
      <c r="AO13" s="336"/>
    </row>
    <row r="14" spans="1:46" x14ac:dyDescent="0.25">
      <c r="A14" s="21"/>
      <c r="H14" s="53"/>
      <c r="I14" s="53"/>
      <c r="J14" s="53"/>
      <c r="K14" s="53"/>
      <c r="L14" s="53"/>
      <c r="M14" s="53"/>
      <c r="N14" s="53"/>
      <c r="O14" s="53"/>
      <c r="P14" s="53"/>
      <c r="AG14" s="346">
        <f>AK14+AM14</f>
        <v>1</v>
      </c>
      <c r="AH14" s="238" t="s">
        <v>257</v>
      </c>
      <c r="AI14" s="89"/>
      <c r="AJ14" s="89"/>
      <c r="AK14" s="343">
        <f>AG12</f>
        <v>1</v>
      </c>
      <c r="AL14" s="344" t="s">
        <v>255</v>
      </c>
      <c r="AM14" s="345">
        <f>AG10</f>
        <v>0</v>
      </c>
      <c r="AN14" s="59"/>
      <c r="AO14" s="338"/>
    </row>
    <row r="15" spans="1:46" ht="15.75" thickBot="1" x14ac:dyDescent="0.3">
      <c r="A15" s="21"/>
      <c r="H15" s="53"/>
      <c r="I15" s="53"/>
      <c r="J15" s="53"/>
      <c r="K15" s="53"/>
      <c r="L15" s="53"/>
      <c r="M15" s="53"/>
      <c r="N15" s="53"/>
      <c r="O15" s="53"/>
      <c r="P15" s="53"/>
      <c r="AG15" s="653"/>
      <c r="AH15" s="660"/>
      <c r="AI15" s="653"/>
      <c r="AJ15" s="653"/>
      <c r="AK15" s="653"/>
      <c r="AL15" s="661"/>
      <c r="AM15" s="653"/>
      <c r="AN15" s="642"/>
      <c r="AO15" s="653"/>
    </row>
    <row r="16" spans="1:46" ht="19.5" thickBot="1" x14ac:dyDescent="0.35">
      <c r="A16" s="51" t="s">
        <v>85</v>
      </c>
      <c r="B16" s="27"/>
      <c r="C16" s="27"/>
      <c r="D16" s="27"/>
      <c r="E16" s="27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20"/>
      <c r="AS16" s="642"/>
      <c r="AT16" s="642"/>
    </row>
    <row r="17" spans="1:46" ht="31.5" customHeight="1" x14ac:dyDescent="0.25">
      <c r="A17" s="21"/>
      <c r="B17" s="670"/>
      <c r="C17" s="670"/>
      <c r="D17" s="670"/>
      <c r="E17" s="670"/>
      <c r="F17" s="642"/>
      <c r="G17" s="642"/>
      <c r="H17" s="642"/>
      <c r="I17" s="642"/>
      <c r="J17" s="642"/>
      <c r="K17" s="642"/>
      <c r="L17" s="642"/>
      <c r="M17" s="642"/>
      <c r="N17" s="642"/>
      <c r="O17" s="482" t="s">
        <v>321</v>
      </c>
      <c r="P17" s="483"/>
      <c r="Q17" s="483"/>
      <c r="R17" s="483"/>
      <c r="S17" s="483"/>
      <c r="T17" s="483"/>
      <c r="U17" s="644" t="s">
        <v>455</v>
      </c>
      <c r="V17" s="568"/>
      <c r="W17" s="693"/>
      <c r="X17" s="547" t="s">
        <v>450</v>
      </c>
      <c r="Y17" s="475"/>
      <c r="Z17" s="38" t="s">
        <v>449</v>
      </c>
      <c r="AA17" s="40"/>
      <c r="AB17" s="39"/>
      <c r="AC17" s="547" t="s">
        <v>451</v>
      </c>
      <c r="AD17" s="474"/>
      <c r="AE17" s="575" t="s">
        <v>376</v>
      </c>
      <c r="AF17" s="576"/>
      <c r="AG17" s="577"/>
      <c r="AH17" s="656"/>
      <c r="AI17" s="578"/>
      <c r="AJ17" s="578"/>
      <c r="AK17" s="578"/>
      <c r="AL17" s="578"/>
      <c r="AM17" s="578"/>
      <c r="AN17" s="578"/>
      <c r="AO17" s="579"/>
      <c r="AQ17" s="715"/>
      <c r="AR17" s="807"/>
      <c r="AS17" s="642"/>
      <c r="AT17" s="642"/>
    </row>
    <row r="18" spans="1:46" ht="25.5" customHeight="1" x14ac:dyDescent="0.25">
      <c r="A18" s="21"/>
      <c r="B18" s="670"/>
      <c r="C18" s="670"/>
      <c r="D18" s="670"/>
      <c r="E18" s="670"/>
      <c r="F18" s="642"/>
      <c r="G18" s="642"/>
      <c r="H18" s="642"/>
      <c r="I18" s="642"/>
      <c r="J18" s="642"/>
      <c r="K18" s="642"/>
      <c r="L18" s="642"/>
      <c r="M18" s="642"/>
      <c r="N18" s="642"/>
      <c r="O18" s="484" t="s">
        <v>69</v>
      </c>
      <c r="P18" s="637"/>
      <c r="Q18" s="637"/>
      <c r="R18" s="637"/>
      <c r="S18" s="637"/>
      <c r="T18" s="637"/>
      <c r="U18" s="645" t="s">
        <v>252</v>
      </c>
      <c r="V18" s="560"/>
      <c r="W18" s="694"/>
      <c r="X18" s="548" t="s">
        <v>64</v>
      </c>
      <c r="Y18" s="518"/>
      <c r="Z18" s="548" t="s">
        <v>64</v>
      </c>
      <c r="AA18" s="502"/>
      <c r="AB18" s="518"/>
      <c r="AC18" s="548" t="s">
        <v>452</v>
      </c>
      <c r="AD18" s="502"/>
      <c r="AE18" s="561" t="s">
        <v>383</v>
      </c>
      <c r="AF18" s="547" t="s">
        <v>353</v>
      </c>
      <c r="AG18" s="475"/>
      <c r="AH18" s="482" t="s">
        <v>377</v>
      </c>
      <c r="AI18" s="483"/>
      <c r="AJ18" s="483"/>
      <c r="AK18" s="483"/>
      <c r="AL18" s="483"/>
      <c r="AM18" s="483"/>
      <c r="AN18" s="483"/>
      <c r="AO18" s="505"/>
      <c r="AQ18" s="688"/>
      <c r="AR18" s="808"/>
      <c r="AS18" s="642"/>
      <c r="AT18" s="642"/>
    </row>
    <row r="19" spans="1:46" ht="24" customHeight="1" x14ac:dyDescent="0.25">
      <c r="A19" s="21"/>
      <c r="B19" s="670"/>
      <c r="C19" s="670"/>
      <c r="D19" s="670"/>
      <c r="E19" s="670"/>
      <c r="F19" s="642"/>
      <c r="G19" s="642"/>
      <c r="H19" s="642"/>
      <c r="I19" s="642"/>
      <c r="J19" s="642"/>
      <c r="K19" s="642"/>
      <c r="L19" s="642"/>
      <c r="M19" s="642"/>
      <c r="N19" s="642"/>
      <c r="O19" s="440" t="s">
        <v>260</v>
      </c>
      <c r="P19" s="638" t="s">
        <v>257</v>
      </c>
      <c r="Q19" s="639" t="s">
        <v>256</v>
      </c>
      <c r="R19" s="640" t="s">
        <v>248</v>
      </c>
      <c r="S19" s="639" t="s">
        <v>258</v>
      </c>
      <c r="T19" s="639"/>
      <c r="U19" s="646">
        <f>ROUNDUP(U23,2)</f>
        <v>0.09</v>
      </c>
      <c r="V19" s="569"/>
      <c r="W19" s="713"/>
      <c r="X19" s="566">
        <f>'Kat. 1 U-Wert'!F99</f>
        <v>0.25</v>
      </c>
      <c r="Y19" s="567"/>
      <c r="Z19" s="542">
        <f>X7</f>
        <v>1</v>
      </c>
      <c r="AA19" s="563"/>
      <c r="AB19" s="479"/>
      <c r="AC19" s="564">
        <f>AO8</f>
        <v>0.03</v>
      </c>
      <c r="AD19" s="565"/>
      <c r="AE19" s="562"/>
      <c r="AF19" s="548"/>
      <c r="AG19" s="518"/>
      <c r="AH19" s="485"/>
      <c r="AI19" s="486"/>
      <c r="AJ19" s="486"/>
      <c r="AK19" s="486"/>
      <c r="AL19" s="486"/>
      <c r="AM19" s="486"/>
      <c r="AN19" s="486"/>
      <c r="AO19" s="503"/>
      <c r="AQ19" s="688"/>
      <c r="AR19" s="808"/>
      <c r="AS19" s="642"/>
      <c r="AT19" s="642"/>
    </row>
    <row r="20" spans="1:46" ht="32.25" customHeight="1" x14ac:dyDescent="0.25">
      <c r="A20" s="21"/>
      <c r="B20" s="670"/>
      <c r="C20" s="670"/>
      <c r="D20" s="670"/>
      <c r="E20" s="670"/>
      <c r="F20" s="642"/>
      <c r="G20" s="642"/>
      <c r="H20" s="642"/>
      <c r="I20" s="642"/>
      <c r="J20" s="642"/>
      <c r="K20" s="642"/>
      <c r="L20" s="642"/>
      <c r="M20" s="642"/>
      <c r="N20" s="642"/>
      <c r="O20" s="441">
        <f>Q20*S20</f>
        <v>17.5</v>
      </c>
      <c r="P20" s="638" t="s">
        <v>257</v>
      </c>
      <c r="Q20" s="641">
        <f>X19</f>
        <v>0.25</v>
      </c>
      <c r="R20" s="640" t="s">
        <v>248</v>
      </c>
      <c r="S20" s="811">
        <f>Z4</f>
        <v>70</v>
      </c>
      <c r="T20" s="642"/>
      <c r="U20" s="646" t="s">
        <v>457</v>
      </c>
      <c r="V20" s="569"/>
      <c r="W20" s="713"/>
      <c r="X20" s="549" t="s">
        <v>456</v>
      </c>
      <c r="Y20" s="550"/>
      <c r="Z20" s="542" t="s">
        <v>454</v>
      </c>
      <c r="AA20" s="563"/>
      <c r="AB20" s="479"/>
      <c r="AC20" s="542" t="s">
        <v>453</v>
      </c>
      <c r="AD20" s="563"/>
      <c r="AE20" s="561" t="s">
        <v>384</v>
      </c>
      <c r="AF20" s="547" t="s">
        <v>367</v>
      </c>
      <c r="AG20" s="475"/>
      <c r="AH20" s="482" t="s">
        <v>390</v>
      </c>
      <c r="AI20" s="483"/>
      <c r="AJ20" s="483"/>
      <c r="AK20" s="483"/>
      <c r="AL20" s="483"/>
      <c r="AM20" s="483"/>
      <c r="AN20" s="483"/>
      <c r="AO20" s="505"/>
      <c r="AQ20" s="688"/>
      <c r="AR20" s="808"/>
      <c r="AS20" s="642"/>
      <c r="AT20" s="642"/>
    </row>
    <row r="21" spans="1:46" ht="18" customHeight="1" x14ac:dyDescent="0.25">
      <c r="A21" s="21"/>
      <c r="B21" s="670"/>
      <c r="C21" s="670"/>
      <c r="D21" s="670"/>
      <c r="E21" s="670"/>
      <c r="F21" s="642"/>
      <c r="G21" s="642"/>
      <c r="H21" s="642"/>
      <c r="I21" s="642"/>
      <c r="J21" s="642"/>
      <c r="K21" s="642"/>
      <c r="L21" s="642"/>
      <c r="M21" s="642"/>
      <c r="N21" s="642"/>
      <c r="O21" s="1"/>
      <c r="P21" s="642"/>
      <c r="Q21" s="642"/>
      <c r="R21" s="643"/>
      <c r="S21" s="643"/>
      <c r="T21" s="643"/>
      <c r="U21" s="215"/>
      <c r="V21" s="639"/>
      <c r="W21" s="639"/>
      <c r="X21" s="56"/>
      <c r="Y21" s="56"/>
      <c r="Z21" s="56"/>
      <c r="AA21" s="55"/>
      <c r="AB21" s="55"/>
      <c r="AC21" s="55"/>
      <c r="AD21" s="55"/>
      <c r="AE21" s="562"/>
      <c r="AF21" s="548"/>
      <c r="AG21" s="518"/>
      <c r="AH21" s="485"/>
      <c r="AI21" s="486"/>
      <c r="AJ21" s="486"/>
      <c r="AK21" s="486"/>
      <c r="AL21" s="486"/>
      <c r="AM21" s="486"/>
      <c r="AN21" s="486"/>
      <c r="AO21" s="503"/>
      <c r="AQ21" s="688"/>
      <c r="AR21" s="808"/>
      <c r="AS21" s="642"/>
      <c r="AT21" s="642"/>
    </row>
    <row r="22" spans="1:46" ht="18.75" customHeight="1" x14ac:dyDescent="0.25">
      <c r="A22" s="21"/>
      <c r="B22" s="670"/>
      <c r="C22" s="670"/>
      <c r="D22" s="670"/>
      <c r="E22" s="670"/>
      <c r="F22" s="642"/>
      <c r="G22" s="642"/>
      <c r="H22" s="642"/>
      <c r="I22" s="642"/>
      <c r="J22" s="642"/>
      <c r="K22" s="642"/>
      <c r="L22" s="642"/>
      <c r="M22" s="642"/>
      <c r="N22" s="642"/>
      <c r="O22" s="1"/>
      <c r="P22" s="642"/>
      <c r="Q22" s="642"/>
      <c r="R22" s="639"/>
      <c r="S22" s="639"/>
      <c r="T22" s="639"/>
      <c r="U22" s="482" t="s">
        <v>445</v>
      </c>
      <c r="V22" s="483"/>
      <c r="W22" s="261" t="s">
        <v>257</v>
      </c>
      <c r="X22" s="483" t="s">
        <v>446</v>
      </c>
      <c r="Y22" s="483"/>
      <c r="Z22" s="261" t="s">
        <v>188</v>
      </c>
      <c r="AA22" s="483" t="s">
        <v>447</v>
      </c>
      <c r="AB22" s="483"/>
      <c r="AC22" s="261" t="s">
        <v>248</v>
      </c>
      <c r="AD22" s="56" t="s">
        <v>448</v>
      </c>
      <c r="AE22" s="554" t="s">
        <v>393</v>
      </c>
      <c r="AF22" s="547" t="s">
        <v>354</v>
      </c>
      <c r="AG22" s="475"/>
      <c r="AH22" s="482" t="s">
        <v>390</v>
      </c>
      <c r="AI22" s="483"/>
      <c r="AJ22" s="483"/>
      <c r="AK22" s="483"/>
      <c r="AL22" s="483"/>
      <c r="AM22" s="483"/>
      <c r="AN22" s="483"/>
      <c r="AO22" s="505"/>
      <c r="AQ22" s="688"/>
      <c r="AR22" s="808"/>
      <c r="AS22" s="642"/>
      <c r="AT22" s="642"/>
    </row>
    <row r="23" spans="1:46" ht="17.25" customHeight="1" x14ac:dyDescent="0.25">
      <c r="A23" s="21"/>
      <c r="B23" s="670"/>
      <c r="C23" s="670"/>
      <c r="D23" s="670"/>
      <c r="E23" s="670"/>
      <c r="F23" s="642"/>
      <c r="G23" s="642"/>
      <c r="H23" s="642"/>
      <c r="I23" s="642"/>
      <c r="J23" s="642"/>
      <c r="K23" s="642"/>
      <c r="L23" s="642"/>
      <c r="M23" s="642"/>
      <c r="N23" s="642"/>
      <c r="O23" s="1"/>
      <c r="P23" s="642"/>
      <c r="Q23" s="642"/>
      <c r="R23" s="639"/>
      <c r="S23" s="639"/>
      <c r="T23" s="639"/>
      <c r="U23" s="647">
        <f>(X23-AA23)*AD23</f>
        <v>0.09</v>
      </c>
      <c r="V23" s="552"/>
      <c r="W23" s="288" t="s">
        <v>257</v>
      </c>
      <c r="X23" s="552">
        <f>1/X19</f>
        <v>4</v>
      </c>
      <c r="Y23" s="552"/>
      <c r="Z23" s="288" t="s">
        <v>188</v>
      </c>
      <c r="AA23" s="552">
        <f>1/X7</f>
        <v>1</v>
      </c>
      <c r="AB23" s="552"/>
      <c r="AC23" s="288" t="s">
        <v>248</v>
      </c>
      <c r="AD23" s="439">
        <f>AC19</f>
        <v>0.03</v>
      </c>
      <c r="AE23" s="554"/>
      <c r="AF23" s="465"/>
      <c r="AG23" s="467"/>
      <c r="AH23" s="484"/>
      <c r="AI23" s="637"/>
      <c r="AJ23" s="637"/>
      <c r="AK23" s="637"/>
      <c r="AL23" s="637"/>
      <c r="AM23" s="637"/>
      <c r="AN23" s="637"/>
      <c r="AO23" s="455"/>
      <c r="AQ23" s="688"/>
      <c r="AR23" s="808"/>
      <c r="AS23" s="642"/>
      <c r="AT23" s="642"/>
    </row>
    <row r="24" spans="1:46" ht="17.25" customHeight="1" thickBot="1" x14ac:dyDescent="0.3">
      <c r="A24" s="21"/>
      <c r="B24" s="670"/>
      <c r="C24" s="670"/>
      <c r="D24" s="670"/>
      <c r="E24" s="670"/>
      <c r="F24" s="642"/>
      <c r="G24" s="642"/>
      <c r="H24" s="642"/>
      <c r="I24" s="642"/>
      <c r="J24" s="642"/>
      <c r="K24" s="642"/>
      <c r="L24" s="642"/>
      <c r="M24" s="642"/>
      <c r="N24" s="642"/>
      <c r="O24" s="1"/>
      <c r="P24" s="642"/>
      <c r="Q24" s="642"/>
      <c r="R24" s="639"/>
      <c r="S24" s="639"/>
      <c r="T24" s="639"/>
      <c r="U24" s="203"/>
      <c r="V24" s="639"/>
      <c r="W24" s="639"/>
      <c r="X24" s="639"/>
      <c r="Y24" s="653"/>
      <c r="Z24" s="653"/>
      <c r="AA24" s="653"/>
      <c r="AB24" s="653"/>
      <c r="AC24" s="653"/>
      <c r="AD24" s="653"/>
      <c r="AE24" s="555"/>
      <c r="AF24" s="461"/>
      <c r="AG24" s="463"/>
      <c r="AH24" s="657"/>
      <c r="AI24" s="459"/>
      <c r="AJ24" s="459"/>
      <c r="AK24" s="459"/>
      <c r="AL24" s="459"/>
      <c r="AM24" s="459"/>
      <c r="AN24" s="459"/>
      <c r="AO24" s="570"/>
      <c r="AQ24" s="688"/>
      <c r="AR24" s="808"/>
      <c r="AS24" s="642"/>
      <c r="AT24" s="642"/>
    </row>
    <row r="25" spans="1:46" ht="16.5" customHeight="1" thickBot="1" x14ac:dyDescent="0.3">
      <c r="A25" s="21"/>
      <c r="B25" s="670"/>
      <c r="C25" s="670"/>
      <c r="D25" s="670"/>
      <c r="E25" s="670"/>
      <c r="F25" s="642"/>
      <c r="G25" s="642"/>
      <c r="H25" s="642"/>
      <c r="I25" s="642"/>
      <c r="J25" s="642"/>
      <c r="K25" s="642"/>
      <c r="L25" s="642"/>
      <c r="M25" s="642"/>
      <c r="N25" s="642"/>
      <c r="O25" s="802" t="s">
        <v>310</v>
      </c>
      <c r="P25" s="803"/>
      <c r="Q25" s="803"/>
      <c r="R25" s="803"/>
      <c r="S25" s="803"/>
      <c r="T25" s="803"/>
      <c r="U25" s="803"/>
      <c r="V25" s="803"/>
      <c r="W25" s="803"/>
      <c r="X25" s="803"/>
      <c r="Y25" s="803"/>
      <c r="Z25" s="803"/>
      <c r="AA25" s="803"/>
      <c r="AB25" s="803"/>
      <c r="AC25" s="803"/>
      <c r="AD25" s="803"/>
      <c r="AE25" s="803"/>
      <c r="AF25" s="803"/>
      <c r="AG25" s="803"/>
      <c r="AH25" s="803"/>
      <c r="AI25" s="803"/>
      <c r="AJ25" s="803"/>
      <c r="AK25" s="803"/>
      <c r="AL25" s="803"/>
      <c r="AM25" s="803"/>
      <c r="AN25" s="803"/>
      <c r="AO25" s="804"/>
      <c r="AP25" s="810"/>
      <c r="AQ25" s="671"/>
      <c r="AR25" s="674"/>
      <c r="AS25" s="642"/>
      <c r="AT25" s="642"/>
    </row>
    <row r="26" spans="1:46" ht="15.75" thickBot="1" x14ac:dyDescent="0.3">
      <c r="A26" s="24"/>
      <c r="B26" s="29"/>
      <c r="C26" s="29"/>
      <c r="D26" s="29"/>
      <c r="E26" s="29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6"/>
      <c r="AS26" s="642"/>
      <c r="AT26" s="642"/>
    </row>
  </sheetData>
  <mergeCells count="55">
    <mergeCell ref="AH22:AO24"/>
    <mergeCell ref="O25:AO25"/>
    <mergeCell ref="AC19:AD19"/>
    <mergeCell ref="AC20:AD20"/>
    <mergeCell ref="AE17:AG17"/>
    <mergeCell ref="AE18:AE19"/>
    <mergeCell ref="AE20:AE21"/>
    <mergeCell ref="AF18:AG19"/>
    <mergeCell ref="AF20:AG21"/>
    <mergeCell ref="O17:T17"/>
    <mergeCell ref="O18:T18"/>
    <mergeCell ref="U17:W17"/>
    <mergeCell ref="U18:W18"/>
    <mergeCell ref="U19:W19"/>
    <mergeCell ref="U20:W20"/>
    <mergeCell ref="X17:Y17"/>
    <mergeCell ref="X18:Y18"/>
    <mergeCell ref="X19:Y19"/>
    <mergeCell ref="X20:Y20"/>
    <mergeCell ref="Z18:AB18"/>
    <mergeCell ref="Z19:AB19"/>
    <mergeCell ref="Z20:AB20"/>
    <mergeCell ref="AC17:AD17"/>
    <mergeCell ref="AC18:AD18"/>
    <mergeCell ref="AE22:AE24"/>
    <mergeCell ref="AH20:AO21"/>
    <mergeCell ref="U22:V22"/>
    <mergeCell ref="U23:V23"/>
    <mergeCell ref="X22:Y22"/>
    <mergeCell ref="X23:Y23"/>
    <mergeCell ref="AA22:AB22"/>
    <mergeCell ref="AH18:AO19"/>
    <mergeCell ref="AH17:AO17"/>
    <mergeCell ref="AL6:AN6"/>
    <mergeCell ref="AL7:AN7"/>
    <mergeCell ref="AO6:AO7"/>
    <mergeCell ref="AG7:AK7"/>
    <mergeCell ref="AG8:AI8"/>
    <mergeCell ref="AM8:AN8"/>
    <mergeCell ref="AK11:AM11"/>
    <mergeCell ref="AK12:AM12"/>
    <mergeCell ref="H5:N5"/>
    <mergeCell ref="Q5:W5"/>
    <mergeCell ref="X5:AB5"/>
    <mergeCell ref="AE5:AF5"/>
    <mergeCell ref="AG5:AO5"/>
    <mergeCell ref="AC3:AD8"/>
    <mergeCell ref="AE2:AF2"/>
    <mergeCell ref="AG2:AO2"/>
    <mergeCell ref="H3:N3"/>
    <mergeCell ref="X3:AB3"/>
    <mergeCell ref="AE3:AF4"/>
    <mergeCell ref="Q3:W3"/>
    <mergeCell ref="AA23:AB23"/>
    <mergeCell ref="AF22:AG24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6F1A-6CCF-4869-A442-D78D3C29389E}">
  <dimension ref="A1:G54"/>
  <sheetViews>
    <sheetView topLeftCell="A8" zoomScaleNormal="100" workbookViewId="0"/>
  </sheetViews>
  <sheetFormatPr baseColWidth="10" defaultRowHeight="15" x14ac:dyDescent="0.25"/>
  <cols>
    <col min="1" max="1" width="21.85546875" customWidth="1"/>
    <col min="2" max="2" width="44.85546875" customWidth="1"/>
    <col min="3" max="3" width="54.140625" customWidth="1"/>
    <col min="4" max="4" width="35.5703125" customWidth="1"/>
    <col min="6" max="6" width="43.42578125" customWidth="1"/>
  </cols>
  <sheetData>
    <row r="1" spans="1:7" ht="18" customHeight="1" x14ac:dyDescent="0.25">
      <c r="A1" s="812"/>
      <c r="C1" s="205"/>
    </row>
    <row r="2" spans="1:7" ht="18" customHeight="1" x14ac:dyDescent="0.25">
      <c r="A2" s="297"/>
      <c r="C2" s="205"/>
    </row>
    <row r="3" spans="1:7" ht="18" customHeight="1" x14ac:dyDescent="0.25">
      <c r="A3" s="297"/>
      <c r="C3" s="205"/>
    </row>
    <row r="4" spans="1:7" ht="18" customHeight="1" thickBot="1" x14ac:dyDescent="0.3">
      <c r="A4" s="297" t="s">
        <v>345</v>
      </c>
      <c r="B4" s="297"/>
      <c r="C4" s="297"/>
      <c r="D4" s="297"/>
      <c r="E4" s="297"/>
      <c r="F4" s="297"/>
      <c r="G4" s="297"/>
    </row>
    <row r="5" spans="1:7" ht="18" customHeight="1" x14ac:dyDescent="0.25">
      <c r="A5" s="512" t="s">
        <v>443</v>
      </c>
      <c r="B5" s="19" t="s">
        <v>211</v>
      </c>
      <c r="C5" s="368"/>
      <c r="D5" s="369" t="s">
        <v>401</v>
      </c>
    </row>
    <row r="6" spans="1:7" ht="18" customHeight="1" x14ac:dyDescent="0.25">
      <c r="A6" s="513"/>
      <c r="B6" s="297"/>
      <c r="C6" s="205"/>
      <c r="D6" s="124" t="s">
        <v>418</v>
      </c>
    </row>
    <row r="7" spans="1:7" ht="18" customHeight="1" thickBot="1" x14ac:dyDescent="0.3">
      <c r="A7" s="513"/>
      <c r="B7" s="435"/>
      <c r="C7" s="275"/>
      <c r="D7" s="370" t="s">
        <v>402</v>
      </c>
    </row>
    <row r="8" spans="1:7" ht="18" customHeight="1" thickBot="1" x14ac:dyDescent="0.3">
      <c r="A8" s="513"/>
      <c r="B8" s="297"/>
      <c r="C8" s="205"/>
      <c r="D8" s="22"/>
    </row>
    <row r="9" spans="1:7" ht="18" customHeight="1" thickBot="1" x14ac:dyDescent="0.3">
      <c r="A9" s="513"/>
      <c r="B9" s="371" t="s">
        <v>347</v>
      </c>
      <c r="C9" s="371"/>
      <c r="D9" s="372" t="s">
        <v>442</v>
      </c>
    </row>
    <row r="10" spans="1:7" ht="18" customHeight="1" x14ac:dyDescent="0.25">
      <c r="A10" s="513"/>
      <c r="B10" s="16"/>
      <c r="C10" s="16"/>
    </row>
    <row r="11" spans="1:7" ht="18" customHeight="1" x14ac:dyDescent="0.25">
      <c r="A11" s="513"/>
      <c r="B11" t="s">
        <v>403</v>
      </c>
      <c r="C11" t="s">
        <v>439</v>
      </c>
      <c r="D11" s="373" t="s">
        <v>440</v>
      </c>
      <c r="E11" s="205"/>
      <c r="F11" t="s">
        <v>421</v>
      </c>
    </row>
    <row r="12" spans="1:7" ht="18" customHeight="1" x14ac:dyDescent="0.25">
      <c r="A12" s="513"/>
      <c r="C12" s="298" t="s">
        <v>336</v>
      </c>
      <c r="D12" s="374" t="s">
        <v>25</v>
      </c>
      <c r="E12" s="205"/>
      <c r="F12" t="s">
        <v>421</v>
      </c>
    </row>
    <row r="13" spans="1:7" ht="18" customHeight="1" x14ac:dyDescent="0.25">
      <c r="A13" s="513"/>
      <c r="D13" s="374" t="s">
        <v>26</v>
      </c>
      <c r="E13" s="205"/>
      <c r="F13" t="s">
        <v>421</v>
      </c>
    </row>
    <row r="14" spans="1:7" ht="18" customHeight="1" x14ac:dyDescent="0.25">
      <c r="A14" s="513"/>
      <c r="D14" s="375" t="s">
        <v>28</v>
      </c>
      <c r="E14" s="16"/>
      <c r="F14" t="s">
        <v>421</v>
      </c>
    </row>
    <row r="15" spans="1:7" ht="18" customHeight="1" x14ac:dyDescent="0.25">
      <c r="A15" s="513"/>
      <c r="D15" s="377"/>
      <c r="E15" s="16"/>
    </row>
    <row r="16" spans="1:7" ht="18" customHeight="1" x14ac:dyDescent="0.25">
      <c r="A16" s="513"/>
      <c r="D16" s="214"/>
      <c r="E16" s="16"/>
      <c r="F16" s="16"/>
    </row>
    <row r="17" spans="1:6" ht="18" customHeight="1" x14ac:dyDescent="0.25">
      <c r="A17" s="513"/>
      <c r="C17" s="205" t="s">
        <v>398</v>
      </c>
      <c r="D17" s="375" t="s">
        <v>25</v>
      </c>
      <c r="E17" s="16"/>
      <c r="F17" t="s">
        <v>421</v>
      </c>
    </row>
    <row r="18" spans="1:6" ht="18" customHeight="1" x14ac:dyDescent="0.25">
      <c r="A18" s="513"/>
      <c r="D18" s="375" t="s">
        <v>26</v>
      </c>
      <c r="E18" s="16"/>
      <c r="F18" t="s">
        <v>421</v>
      </c>
    </row>
    <row r="19" spans="1:6" ht="18" customHeight="1" x14ac:dyDescent="0.25">
      <c r="A19" s="513"/>
      <c r="D19" s="375" t="s">
        <v>28</v>
      </c>
      <c r="E19" s="16"/>
      <c r="F19" t="s">
        <v>421</v>
      </c>
    </row>
    <row r="20" spans="1:6" ht="18" customHeight="1" x14ac:dyDescent="0.25">
      <c r="A20" s="513"/>
      <c r="D20" s="214"/>
      <c r="E20" s="16"/>
      <c r="F20" s="16"/>
    </row>
    <row r="21" spans="1:6" ht="18" customHeight="1" x14ac:dyDescent="0.25">
      <c r="A21" s="513"/>
      <c r="C21" s="205" t="s">
        <v>399</v>
      </c>
      <c r="D21" s="376" t="s">
        <v>400</v>
      </c>
      <c r="F21" t="s">
        <v>420</v>
      </c>
    </row>
    <row r="22" spans="1:6" ht="18" customHeight="1" x14ac:dyDescent="0.25">
      <c r="A22" s="513"/>
      <c r="C22" s="205"/>
      <c r="D22" s="376" t="s">
        <v>409</v>
      </c>
      <c r="F22" t="s">
        <v>420</v>
      </c>
    </row>
    <row r="23" spans="1:6" ht="18" customHeight="1" x14ac:dyDescent="0.25">
      <c r="A23" s="513"/>
      <c r="C23" s="205"/>
      <c r="D23" s="214"/>
    </row>
    <row r="24" spans="1:6" ht="18" customHeight="1" x14ac:dyDescent="0.25">
      <c r="A24" s="513"/>
      <c r="C24" t="s">
        <v>337</v>
      </c>
      <c r="D24" s="376" t="s">
        <v>339</v>
      </c>
      <c r="E24" s="16"/>
      <c r="F24" t="s">
        <v>420</v>
      </c>
    </row>
    <row r="25" spans="1:6" ht="18" customHeight="1" x14ac:dyDescent="0.25">
      <c r="A25" s="513"/>
      <c r="D25" s="376" t="s">
        <v>340</v>
      </c>
      <c r="E25" s="16"/>
      <c r="F25" t="s">
        <v>420</v>
      </c>
    </row>
    <row r="26" spans="1:6" ht="18" customHeight="1" x14ac:dyDescent="0.25">
      <c r="A26" s="513"/>
      <c r="D26" s="376" t="s">
        <v>404</v>
      </c>
      <c r="E26" s="16"/>
      <c r="F26" t="s">
        <v>420</v>
      </c>
    </row>
    <row r="27" spans="1:6" ht="18" customHeight="1" x14ac:dyDescent="0.25">
      <c r="A27" s="513"/>
      <c r="D27" s="376" t="s">
        <v>405</v>
      </c>
      <c r="E27" s="16"/>
      <c r="F27" t="s">
        <v>420</v>
      </c>
    </row>
    <row r="28" spans="1:6" ht="18" customHeight="1" x14ac:dyDescent="0.25">
      <c r="A28" s="513"/>
      <c r="D28" s="375" t="s">
        <v>422</v>
      </c>
      <c r="E28" s="16"/>
      <c r="F28" t="s">
        <v>421</v>
      </c>
    </row>
    <row r="29" spans="1:6" ht="18" customHeight="1" x14ac:dyDescent="0.25">
      <c r="A29" s="513"/>
      <c r="C29" s="16" t="s">
        <v>338</v>
      </c>
    </row>
    <row r="30" spans="1:6" ht="18" customHeight="1" x14ac:dyDescent="0.25">
      <c r="A30" s="513"/>
      <c r="B30" s="16"/>
    </row>
    <row r="31" spans="1:6" ht="18" customHeight="1" x14ac:dyDescent="0.25">
      <c r="A31" s="513"/>
      <c r="B31" s="16" t="s">
        <v>406</v>
      </c>
      <c r="C31" s="16" t="s">
        <v>407</v>
      </c>
      <c r="D31" s="16" t="s">
        <v>408</v>
      </c>
      <c r="F31" t="s">
        <v>420</v>
      </c>
    </row>
    <row r="32" spans="1:6" ht="18" customHeight="1" x14ac:dyDescent="0.25">
      <c r="A32" s="513"/>
      <c r="B32" s="16"/>
      <c r="C32" s="16"/>
      <c r="D32" s="16" t="s">
        <v>419</v>
      </c>
      <c r="F32" t="s">
        <v>420</v>
      </c>
    </row>
    <row r="33" spans="1:6" ht="18" customHeight="1" x14ac:dyDescent="0.25">
      <c r="A33" s="513"/>
      <c r="B33" s="16"/>
      <c r="C33" s="16"/>
      <c r="D33" s="16"/>
    </row>
    <row r="34" spans="1:6" ht="18" customHeight="1" x14ac:dyDescent="0.25">
      <c r="A34" s="513"/>
      <c r="B34" s="16"/>
      <c r="C34" s="16" t="s">
        <v>399</v>
      </c>
      <c r="D34" s="16" t="s">
        <v>400</v>
      </c>
      <c r="F34" t="s">
        <v>420</v>
      </c>
    </row>
    <row r="35" spans="1:6" ht="18" customHeight="1" x14ac:dyDescent="0.25">
      <c r="A35" s="513"/>
      <c r="B35" s="16"/>
      <c r="C35" s="16"/>
      <c r="D35" s="16" t="s">
        <v>409</v>
      </c>
      <c r="F35" t="s">
        <v>420</v>
      </c>
    </row>
    <row r="36" spans="1:6" ht="18" customHeight="1" x14ac:dyDescent="0.25">
      <c r="A36" s="513"/>
      <c r="B36" s="16"/>
      <c r="C36" s="16"/>
      <c r="D36" s="16"/>
    </row>
    <row r="37" spans="1:6" ht="18" customHeight="1" x14ac:dyDescent="0.25">
      <c r="A37" s="513"/>
      <c r="B37" t="s">
        <v>341</v>
      </c>
      <c r="C37" s="16" t="s">
        <v>240</v>
      </c>
    </row>
    <row r="38" spans="1:6" ht="18" customHeight="1" x14ac:dyDescent="0.25">
      <c r="A38" s="513"/>
      <c r="C38" s="16" t="s">
        <v>410</v>
      </c>
    </row>
    <row r="39" spans="1:6" ht="18" customHeight="1" thickBot="1" x14ac:dyDescent="0.3">
      <c r="A39" s="514"/>
      <c r="C39" s="16" t="s">
        <v>342</v>
      </c>
    </row>
    <row r="40" spans="1:6" ht="18" customHeight="1" x14ac:dyDescent="0.25">
      <c r="B40" t="s">
        <v>414</v>
      </c>
      <c r="C40" s="16"/>
    </row>
    <row r="41" spans="1:6" ht="18" customHeight="1" x14ac:dyDescent="0.25">
      <c r="C41" t="s">
        <v>346</v>
      </c>
      <c r="D41" s="16"/>
    </row>
    <row r="42" spans="1:6" ht="18" customHeight="1" x14ac:dyDescent="0.25">
      <c r="C42" t="s">
        <v>411</v>
      </c>
      <c r="D42" s="16" t="s">
        <v>412</v>
      </c>
    </row>
    <row r="43" spans="1:6" ht="18" customHeight="1" x14ac:dyDescent="0.25">
      <c r="D43" s="16"/>
    </row>
    <row r="44" spans="1:6" ht="18" customHeight="1" x14ac:dyDescent="0.25">
      <c r="C44" t="s">
        <v>343</v>
      </c>
      <c r="D44" s="16" t="s">
        <v>413</v>
      </c>
      <c r="E44" s="299"/>
      <c r="F44" s="299"/>
    </row>
    <row r="45" spans="1:6" x14ac:dyDescent="0.25">
      <c r="D45" s="16"/>
      <c r="E45" s="299"/>
      <c r="F45" s="299"/>
    </row>
    <row r="46" spans="1:6" ht="15" customHeight="1" x14ac:dyDescent="0.25">
      <c r="C46" t="s">
        <v>344</v>
      </c>
      <c r="D46" s="16" t="s">
        <v>413</v>
      </c>
      <c r="E46" s="299"/>
      <c r="F46" s="299"/>
    </row>
    <row r="47" spans="1:6" x14ac:dyDescent="0.25">
      <c r="D47" s="16"/>
      <c r="E47" s="299"/>
      <c r="F47" s="299"/>
    </row>
    <row r="48" spans="1:6" x14ac:dyDescent="0.25">
      <c r="C48" t="s">
        <v>415</v>
      </c>
    </row>
    <row r="50" spans="3:4" x14ac:dyDescent="0.25">
      <c r="C50" t="s">
        <v>416</v>
      </c>
    </row>
    <row r="51" spans="3:4" x14ac:dyDescent="0.25">
      <c r="C51" t="s">
        <v>417</v>
      </c>
      <c r="D51" s="16"/>
    </row>
    <row r="52" spans="3:4" x14ac:dyDescent="0.25">
      <c r="C52" s="16"/>
    </row>
    <row r="53" spans="3:4" x14ac:dyDescent="0.25">
      <c r="C53" s="16"/>
    </row>
    <row r="54" spans="3:4" x14ac:dyDescent="0.25">
      <c r="C54" s="16"/>
    </row>
  </sheetData>
  <mergeCells count="1">
    <mergeCell ref="A5:A39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DD2D-2099-41DE-8960-3C2478E24EF9}">
  <dimension ref="B2:R77"/>
  <sheetViews>
    <sheetView workbookViewId="0">
      <selection activeCell="J14" sqref="J14"/>
    </sheetView>
  </sheetViews>
  <sheetFormatPr baseColWidth="10" defaultRowHeight="15" x14ac:dyDescent="0.25"/>
  <cols>
    <col min="3" max="3" width="2.140625" customWidth="1"/>
    <col min="4" max="4" width="17" customWidth="1"/>
    <col min="5" max="5" width="2.140625" customWidth="1"/>
    <col min="6" max="6" width="12.140625" customWidth="1"/>
    <col min="7" max="7" width="2" customWidth="1"/>
    <col min="9" max="9" width="1.85546875" customWidth="1"/>
    <col min="11" max="11" width="2" customWidth="1"/>
  </cols>
  <sheetData>
    <row r="2" spans="2:14" x14ac:dyDescent="0.25">
      <c r="B2" s="832" t="s">
        <v>546</v>
      </c>
      <c r="C2" s="833"/>
      <c r="D2" s="833"/>
      <c r="E2" s="833"/>
      <c r="F2" s="834"/>
    </row>
    <row r="3" spans="2:14" ht="18" x14ac:dyDescent="0.35">
      <c r="B3" s="166" t="s">
        <v>505</v>
      </c>
      <c r="C3" s="813" t="s">
        <v>257</v>
      </c>
      <c r="D3" s="166" t="s">
        <v>506</v>
      </c>
      <c r="E3" s="813" t="s">
        <v>248</v>
      </c>
      <c r="F3" s="166" t="s">
        <v>507</v>
      </c>
      <c r="N3" t="s">
        <v>500</v>
      </c>
    </row>
    <row r="4" spans="2:14" x14ac:dyDescent="0.25">
      <c r="B4" s="388" t="s">
        <v>70</v>
      </c>
      <c r="C4" s="814"/>
      <c r="D4" s="388" t="s">
        <v>62</v>
      </c>
      <c r="E4" s="814"/>
      <c r="F4" s="388" t="s">
        <v>252</v>
      </c>
    </row>
    <row r="5" spans="2:14" ht="33" customHeight="1" x14ac:dyDescent="0.25">
      <c r="B5" s="165">
        <f>D5*F5</f>
        <v>423.5</v>
      </c>
      <c r="C5" s="815" t="s">
        <v>257</v>
      </c>
      <c r="D5" s="54">
        <v>77</v>
      </c>
      <c r="E5" s="815" t="s">
        <v>248</v>
      </c>
      <c r="F5" s="389">
        <v>5.5</v>
      </c>
    </row>
    <row r="7" spans="2:14" x14ac:dyDescent="0.25">
      <c r="B7" s="832" t="s">
        <v>547</v>
      </c>
      <c r="C7" s="833"/>
      <c r="D7" s="833"/>
      <c r="E7" s="833"/>
      <c r="F7" s="834"/>
    </row>
    <row r="8" spans="2:14" ht="15" customHeight="1" x14ac:dyDescent="0.35">
      <c r="B8" s="166" t="s">
        <v>508</v>
      </c>
      <c r="C8" s="813" t="s">
        <v>257</v>
      </c>
      <c r="D8" s="166">
        <v>0.76</v>
      </c>
      <c r="E8" s="813" t="s">
        <v>248</v>
      </c>
      <c r="F8" s="166" t="s">
        <v>505</v>
      </c>
      <c r="N8" t="s">
        <v>504</v>
      </c>
    </row>
    <row r="9" spans="2:14" x14ac:dyDescent="0.25">
      <c r="B9" s="388" t="s">
        <v>70</v>
      </c>
      <c r="C9" s="814"/>
      <c r="D9" s="388" t="s">
        <v>509</v>
      </c>
      <c r="E9" s="814"/>
      <c r="F9" s="388" t="s">
        <v>70</v>
      </c>
    </row>
    <row r="10" spans="2:14" ht="33.75" customHeight="1" x14ac:dyDescent="0.25">
      <c r="B10" s="165">
        <f>D10*F10</f>
        <v>321.86</v>
      </c>
      <c r="C10" s="815" t="s">
        <v>257</v>
      </c>
      <c r="D10" s="54">
        <v>0.76</v>
      </c>
      <c r="E10" s="815" t="s">
        <v>248</v>
      </c>
      <c r="F10" s="389">
        <f>B5</f>
        <v>423.5</v>
      </c>
    </row>
    <row r="12" spans="2:14" x14ac:dyDescent="0.25">
      <c r="B12" s="831" t="s">
        <v>543</v>
      </c>
      <c r="C12" s="831"/>
      <c r="D12" s="831"/>
      <c r="E12" s="831"/>
      <c r="F12" s="831"/>
    </row>
    <row r="13" spans="2:14" ht="15" customHeight="1" x14ac:dyDescent="0.35">
      <c r="B13" s="166" t="s">
        <v>510</v>
      </c>
      <c r="C13" s="813" t="s">
        <v>257</v>
      </c>
      <c r="D13" s="166">
        <v>0.32</v>
      </c>
      <c r="E13" s="813" t="s">
        <v>248</v>
      </c>
      <c r="F13" s="166" t="s">
        <v>505</v>
      </c>
      <c r="N13" t="s">
        <v>499</v>
      </c>
    </row>
    <row r="14" spans="2:14" x14ac:dyDescent="0.25">
      <c r="B14" s="816" t="s">
        <v>62</v>
      </c>
      <c r="C14" s="814"/>
      <c r="D14" s="388" t="s">
        <v>509</v>
      </c>
      <c r="E14" s="814"/>
      <c r="F14" s="388" t="s">
        <v>70</v>
      </c>
    </row>
    <row r="15" spans="2:14" ht="30.75" customHeight="1" x14ac:dyDescent="0.25">
      <c r="B15" s="165">
        <f>D15*F15</f>
        <v>135.52000000000001</v>
      </c>
      <c r="C15" s="815" t="s">
        <v>257</v>
      </c>
      <c r="D15" s="54">
        <v>0.32</v>
      </c>
      <c r="E15" s="815" t="s">
        <v>248</v>
      </c>
      <c r="F15" s="389">
        <f>F10</f>
        <v>423.5</v>
      </c>
    </row>
    <row r="16" spans="2:14" x14ac:dyDescent="0.25">
      <c r="B16" s="653"/>
      <c r="C16" s="660"/>
      <c r="D16" s="653"/>
      <c r="E16" s="660"/>
      <c r="F16" s="653"/>
    </row>
    <row r="17" spans="2:14" s="809" customFormat="1" x14ac:dyDescent="0.25">
      <c r="B17" s="851" t="s">
        <v>544</v>
      </c>
      <c r="C17" s="852"/>
      <c r="D17" s="852"/>
      <c r="E17" s="852"/>
      <c r="F17" s="853"/>
    </row>
    <row r="18" spans="2:14" s="809" customFormat="1" ht="16.5" customHeight="1" x14ac:dyDescent="0.35">
      <c r="B18" s="824" t="s">
        <v>511</v>
      </c>
      <c r="C18" s="825" t="s">
        <v>257</v>
      </c>
      <c r="D18" s="824" t="s">
        <v>512</v>
      </c>
      <c r="E18" s="825" t="s">
        <v>248</v>
      </c>
      <c r="F18" s="824" t="s">
        <v>510</v>
      </c>
      <c r="N18" s="809" t="s">
        <v>501</v>
      </c>
    </row>
    <row r="19" spans="2:14" s="809" customFormat="1" x14ac:dyDescent="0.25">
      <c r="B19" s="816" t="s">
        <v>62</v>
      </c>
      <c r="C19" s="826"/>
      <c r="D19" s="816" t="s">
        <v>509</v>
      </c>
      <c r="E19" s="826"/>
      <c r="F19" s="816" t="s">
        <v>62</v>
      </c>
      <c r="N19" s="809" t="s">
        <v>513</v>
      </c>
    </row>
    <row r="20" spans="2:14" s="809" customFormat="1" ht="30.75" customHeight="1" x14ac:dyDescent="0.25">
      <c r="B20" s="827">
        <f>D20*F20</f>
        <v>110.42370370370372</v>
      </c>
      <c r="C20" s="828" t="s">
        <v>257</v>
      </c>
      <c r="D20" s="817">
        <f>1.1/1.35</f>
        <v>0.81481481481481488</v>
      </c>
      <c r="E20" s="828" t="s">
        <v>248</v>
      </c>
      <c r="F20" s="829">
        <f>B15</f>
        <v>135.52000000000001</v>
      </c>
    </row>
    <row r="22" spans="2:14" x14ac:dyDescent="0.25">
      <c r="B22" s="832" t="s">
        <v>545</v>
      </c>
      <c r="C22" s="833"/>
      <c r="D22" s="833"/>
      <c r="E22" s="833"/>
      <c r="F22" s="834"/>
    </row>
    <row r="23" spans="2:14" ht="18" x14ac:dyDescent="0.35">
      <c r="B23" s="824" t="s">
        <v>511</v>
      </c>
      <c r="C23" s="825" t="s">
        <v>257</v>
      </c>
      <c r="D23" s="824" t="s">
        <v>514</v>
      </c>
      <c r="E23" s="825" t="s">
        <v>248</v>
      </c>
      <c r="F23" s="824" t="s">
        <v>510</v>
      </c>
      <c r="N23" t="s">
        <v>502</v>
      </c>
    </row>
    <row r="24" spans="2:14" x14ac:dyDescent="0.25">
      <c r="B24" s="816" t="s">
        <v>62</v>
      </c>
      <c r="C24" s="826"/>
      <c r="D24" s="816" t="s">
        <v>509</v>
      </c>
      <c r="E24" s="826"/>
      <c r="F24" s="816" t="s">
        <v>62</v>
      </c>
      <c r="N24" t="s">
        <v>513</v>
      </c>
    </row>
    <row r="25" spans="2:14" ht="30.75" customHeight="1" x14ac:dyDescent="0.25">
      <c r="B25" s="827">
        <f>D25*F25</f>
        <v>124.22666666666669</v>
      </c>
      <c r="C25" s="828" t="s">
        <v>257</v>
      </c>
      <c r="D25" s="817">
        <f>1.1/1.2</f>
        <v>0.91666666666666674</v>
      </c>
      <c r="E25" s="828" t="s">
        <v>248</v>
      </c>
      <c r="F25" s="829">
        <f>B15</f>
        <v>135.52000000000001</v>
      </c>
    </row>
    <row r="27" spans="2:14" x14ac:dyDescent="0.25">
      <c r="B27" s="832" t="s">
        <v>548</v>
      </c>
      <c r="C27" s="833"/>
      <c r="D27" s="833"/>
      <c r="E27" s="833"/>
      <c r="F27" s="834"/>
    </row>
    <row r="28" spans="2:14" ht="18" x14ac:dyDescent="0.35">
      <c r="B28" s="824" t="s">
        <v>511</v>
      </c>
      <c r="C28" s="825" t="s">
        <v>257</v>
      </c>
      <c r="D28" s="824">
        <v>1.1000000000000001</v>
      </c>
      <c r="E28" s="825" t="s">
        <v>248</v>
      </c>
      <c r="F28" s="824" t="s">
        <v>515</v>
      </c>
      <c r="N28" t="s">
        <v>503</v>
      </c>
    </row>
    <row r="29" spans="2:14" x14ac:dyDescent="0.25">
      <c r="B29" s="816" t="s">
        <v>62</v>
      </c>
      <c r="C29" s="826"/>
      <c r="D29" s="816" t="s">
        <v>509</v>
      </c>
      <c r="E29" s="826"/>
      <c r="F29" s="816" t="s">
        <v>62</v>
      </c>
    </row>
    <row r="30" spans="2:14" ht="30.75" customHeight="1" x14ac:dyDescent="0.25">
      <c r="B30" s="827">
        <f>D30*F30</f>
        <v>128.33333333333334</v>
      </c>
      <c r="C30" s="828" t="s">
        <v>257</v>
      </c>
      <c r="D30" s="817">
        <f>1.1/1.2</f>
        <v>0.91666666666666674</v>
      </c>
      <c r="E30" s="828" t="s">
        <v>248</v>
      </c>
      <c r="F30" s="829">
        <v>140</v>
      </c>
    </row>
    <row r="32" spans="2:14" ht="31.5" customHeight="1" x14ac:dyDescent="0.25">
      <c r="B32" s="838" t="s">
        <v>559</v>
      </c>
      <c r="C32" s="839"/>
      <c r="D32" s="839"/>
      <c r="E32" s="839"/>
      <c r="F32" s="839"/>
      <c r="G32" s="839"/>
      <c r="H32" s="840"/>
    </row>
    <row r="33" spans="2:18" ht="18" x14ac:dyDescent="0.35">
      <c r="B33" s="166" t="s">
        <v>522</v>
      </c>
      <c r="C33" s="825" t="s">
        <v>257</v>
      </c>
      <c r="D33" s="166" t="s">
        <v>517</v>
      </c>
      <c r="E33" s="825" t="s">
        <v>248</v>
      </c>
      <c r="F33" s="166">
        <v>0.34</v>
      </c>
      <c r="G33" s="825" t="s">
        <v>248</v>
      </c>
      <c r="H33" s="166" t="s">
        <v>508</v>
      </c>
      <c r="N33" t="s">
        <v>516</v>
      </c>
    </row>
    <row r="34" spans="2:18" ht="16.5" x14ac:dyDescent="0.25">
      <c r="B34" s="388" t="s">
        <v>518</v>
      </c>
      <c r="C34" s="826"/>
      <c r="D34" s="388" t="s">
        <v>519</v>
      </c>
      <c r="E34" s="826"/>
      <c r="F34" s="388" t="s">
        <v>509</v>
      </c>
      <c r="G34" s="826"/>
      <c r="H34" s="388" t="s">
        <v>70</v>
      </c>
      <c r="N34" t="s">
        <v>520</v>
      </c>
    </row>
    <row r="35" spans="2:18" ht="30.75" customHeight="1" x14ac:dyDescent="0.35">
      <c r="B35" s="801">
        <f>D35*F35*H35</f>
        <v>86.451596000000009</v>
      </c>
      <c r="C35" s="828" t="s">
        <v>257</v>
      </c>
      <c r="D35" s="54">
        <v>0.79</v>
      </c>
      <c r="E35" s="828" t="s">
        <v>248</v>
      </c>
      <c r="F35" s="54">
        <v>0.34</v>
      </c>
      <c r="G35" s="828" t="s">
        <v>248</v>
      </c>
      <c r="H35" s="389">
        <f>B10</f>
        <v>321.86</v>
      </c>
      <c r="N35" t="s">
        <v>521</v>
      </c>
    </row>
    <row r="36" spans="2:18" x14ac:dyDescent="0.25">
      <c r="B36" s="703"/>
      <c r="C36" s="855"/>
      <c r="D36" s="653"/>
      <c r="E36" s="855"/>
      <c r="F36" s="653"/>
      <c r="G36" s="855"/>
      <c r="H36" s="653"/>
    </row>
    <row r="37" spans="2:18" x14ac:dyDescent="0.25">
      <c r="B37" s="832" t="s">
        <v>565</v>
      </c>
      <c r="C37" s="833"/>
      <c r="D37" s="833"/>
      <c r="E37" s="833"/>
      <c r="F37" s="834"/>
    </row>
    <row r="38" spans="2:18" ht="18" x14ac:dyDescent="0.35">
      <c r="B38" s="301" t="s">
        <v>566</v>
      </c>
      <c r="C38" s="825" t="s">
        <v>257</v>
      </c>
      <c r="D38" s="166" t="s">
        <v>522</v>
      </c>
      <c r="E38" s="813" t="s">
        <v>255</v>
      </c>
      <c r="F38" s="336" t="s">
        <v>260</v>
      </c>
      <c r="N38" t="s">
        <v>567</v>
      </c>
    </row>
    <row r="39" spans="2:18" ht="18" x14ac:dyDescent="0.35">
      <c r="B39" s="393" t="s">
        <v>518</v>
      </c>
      <c r="C39" s="826"/>
      <c r="D39" s="388" t="s">
        <v>518</v>
      </c>
      <c r="E39" s="519"/>
      <c r="F39" s="338" t="s">
        <v>518</v>
      </c>
      <c r="N39" t="s">
        <v>568</v>
      </c>
    </row>
    <row r="40" spans="2:18" ht="29.25" customHeight="1" x14ac:dyDescent="0.25">
      <c r="B40" s="846">
        <f>ROUNDUP(D40+F40,0)</f>
        <v>594</v>
      </c>
      <c r="C40" s="815" t="s">
        <v>257</v>
      </c>
      <c r="D40" s="789">
        <f>B35</f>
        <v>86.451596000000009</v>
      </c>
      <c r="E40" s="815" t="s">
        <v>255</v>
      </c>
      <c r="F40" s="389">
        <f>ROUNDUP(Grobkonzept!H72,0)</f>
        <v>507</v>
      </c>
    </row>
    <row r="41" spans="2:18" hidden="1" x14ac:dyDescent="0.25"/>
    <row r="42" spans="2:18" s="28" customFormat="1" hidden="1" x14ac:dyDescent="0.25">
      <c r="B42" s="904" t="s">
        <v>549</v>
      </c>
      <c r="C42" s="905"/>
      <c r="D42" s="905"/>
      <c r="E42" s="905"/>
      <c r="F42" s="905"/>
      <c r="G42" s="905"/>
      <c r="H42" s="905"/>
      <c r="I42" s="905"/>
      <c r="J42" s="905"/>
      <c r="K42" s="905"/>
      <c r="L42" s="906"/>
    </row>
    <row r="43" spans="2:18" s="28" customFormat="1" ht="18" hidden="1" x14ac:dyDescent="0.35">
      <c r="B43" s="907" t="s">
        <v>524</v>
      </c>
      <c r="C43" s="908" t="s">
        <v>257</v>
      </c>
      <c r="D43" s="907" t="s">
        <v>522</v>
      </c>
      <c r="E43" s="908" t="s">
        <v>248</v>
      </c>
      <c r="F43" s="907" t="s">
        <v>526</v>
      </c>
      <c r="G43" s="908" t="s">
        <v>188</v>
      </c>
      <c r="H43" s="907" t="s">
        <v>527</v>
      </c>
      <c r="I43" s="908" t="s">
        <v>248</v>
      </c>
      <c r="J43" s="907">
        <v>1E-3</v>
      </c>
      <c r="K43" s="908" t="s">
        <v>248</v>
      </c>
      <c r="L43" s="907" t="s">
        <v>531</v>
      </c>
      <c r="N43" s="28" t="s">
        <v>523</v>
      </c>
      <c r="Q43" s="670" t="s">
        <v>533</v>
      </c>
    </row>
    <row r="44" spans="2:18" s="28" customFormat="1" ht="18" hidden="1" x14ac:dyDescent="0.35">
      <c r="B44" s="909" t="s">
        <v>525</v>
      </c>
      <c r="C44" s="910"/>
      <c r="D44" s="909" t="s">
        <v>518</v>
      </c>
      <c r="E44" s="910"/>
      <c r="F44" s="909" t="s">
        <v>535</v>
      </c>
      <c r="G44" s="910"/>
      <c r="H44" s="909" t="s">
        <v>535</v>
      </c>
      <c r="I44" s="910"/>
      <c r="J44" s="909" t="s">
        <v>536</v>
      </c>
      <c r="K44" s="910"/>
      <c r="L44" s="909" t="s">
        <v>534</v>
      </c>
      <c r="N44" s="670" t="s">
        <v>532</v>
      </c>
      <c r="R44" s="670" t="s">
        <v>537</v>
      </c>
    </row>
    <row r="45" spans="2:18" s="28" customFormat="1" ht="18" hidden="1" x14ac:dyDescent="0.25">
      <c r="B45" s="907" t="s">
        <v>580</v>
      </c>
      <c r="C45" s="911" t="s">
        <v>257</v>
      </c>
      <c r="D45" s="907" t="s">
        <v>563</v>
      </c>
      <c r="E45" s="911" t="s">
        <v>248</v>
      </c>
      <c r="F45" s="912" t="s">
        <v>576</v>
      </c>
      <c r="G45" s="913"/>
      <c r="H45" s="914"/>
      <c r="I45" s="911" t="s">
        <v>248</v>
      </c>
      <c r="J45" s="913" t="s">
        <v>577</v>
      </c>
      <c r="K45" s="913"/>
      <c r="L45" s="914"/>
      <c r="M45" s="915" t="s">
        <v>579</v>
      </c>
      <c r="N45" s="916" t="s">
        <v>578</v>
      </c>
    </row>
    <row r="46" spans="2:18" s="28" customFormat="1" ht="30" hidden="1" customHeight="1" x14ac:dyDescent="0.25">
      <c r="B46" s="917">
        <f>D46*F46*J46</f>
        <v>7523.3636903040015</v>
      </c>
      <c r="C46" s="918" t="s">
        <v>257</v>
      </c>
      <c r="D46" s="919">
        <f>B35</f>
        <v>86.451596000000009</v>
      </c>
      <c r="E46" s="918" t="s">
        <v>248</v>
      </c>
      <c r="F46" s="920">
        <v>3626</v>
      </c>
      <c r="G46" s="920"/>
      <c r="H46" s="920"/>
      <c r="I46" s="918" t="s">
        <v>248</v>
      </c>
      <c r="J46" s="920">
        <v>2.4E-2</v>
      </c>
      <c r="K46" s="920"/>
      <c r="L46" s="921"/>
    </row>
    <row r="47" spans="2:18" hidden="1" x14ac:dyDescent="0.25"/>
    <row r="48" spans="2:18" s="28" customFormat="1" hidden="1" x14ac:dyDescent="0.25">
      <c r="B48" s="904" t="s">
        <v>581</v>
      </c>
      <c r="C48" s="905"/>
      <c r="D48" s="905"/>
      <c r="E48" s="905"/>
      <c r="F48" s="905"/>
      <c r="G48" s="905"/>
      <c r="H48" s="906"/>
    </row>
    <row r="49" spans="2:14" s="28" customFormat="1" ht="18" hidden="1" x14ac:dyDescent="0.25">
      <c r="B49" s="907" t="s">
        <v>528</v>
      </c>
      <c r="C49" s="908" t="s">
        <v>257</v>
      </c>
      <c r="D49" s="907" t="s">
        <v>529</v>
      </c>
      <c r="E49" s="908" t="s">
        <v>248</v>
      </c>
      <c r="F49" s="907" t="s">
        <v>511</v>
      </c>
      <c r="G49" s="908" t="s">
        <v>248</v>
      </c>
      <c r="H49" s="907">
        <v>1E-3</v>
      </c>
      <c r="N49" s="28" t="s">
        <v>538</v>
      </c>
    </row>
    <row r="50" spans="2:14" s="28" customFormat="1" hidden="1" x14ac:dyDescent="0.25">
      <c r="B50" s="909" t="s">
        <v>530</v>
      </c>
      <c r="C50" s="910"/>
      <c r="D50" s="909" t="s">
        <v>587</v>
      </c>
      <c r="E50" s="910"/>
      <c r="F50" s="909" t="s">
        <v>62</v>
      </c>
      <c r="G50" s="910"/>
      <c r="H50" s="909" t="s">
        <v>536</v>
      </c>
    </row>
    <row r="51" spans="2:14" s="28" customFormat="1" ht="30" hidden="1" customHeight="1" x14ac:dyDescent="0.25">
      <c r="B51" s="922">
        <f>D51*F51*H51</f>
        <v>11.55</v>
      </c>
      <c r="C51" s="918" t="s">
        <v>257</v>
      </c>
      <c r="D51" s="923">
        <v>90</v>
      </c>
      <c r="E51" s="918" t="s">
        <v>248</v>
      </c>
      <c r="F51" s="924">
        <f>B30</f>
        <v>128.33333333333334</v>
      </c>
      <c r="G51" s="918" t="s">
        <v>248</v>
      </c>
      <c r="H51" s="925">
        <v>1E-3</v>
      </c>
    </row>
    <row r="53" spans="2:14" s="820" customFormat="1" hidden="1" x14ac:dyDescent="0.25">
      <c r="B53" s="835" t="s">
        <v>550</v>
      </c>
      <c r="C53" s="836"/>
      <c r="D53" s="836"/>
      <c r="E53" s="836"/>
      <c r="F53" s="837"/>
    </row>
    <row r="54" spans="2:14" s="820" customFormat="1" ht="18" hidden="1" x14ac:dyDescent="0.35">
      <c r="B54" s="818" t="s">
        <v>540</v>
      </c>
      <c r="C54" s="819" t="s">
        <v>257</v>
      </c>
      <c r="D54" s="818">
        <v>90</v>
      </c>
      <c r="E54" s="819" t="s">
        <v>248</v>
      </c>
      <c r="F54" s="818" t="s">
        <v>511</v>
      </c>
      <c r="N54" s="820" t="s">
        <v>542</v>
      </c>
    </row>
    <row r="55" spans="2:14" s="820" customFormat="1" hidden="1" x14ac:dyDescent="0.25">
      <c r="B55" s="821" t="s">
        <v>551</v>
      </c>
      <c r="C55" s="822"/>
      <c r="D55" s="821" t="s">
        <v>541</v>
      </c>
      <c r="E55" s="822"/>
      <c r="F55" s="821" t="s">
        <v>62</v>
      </c>
      <c r="N55" s="820" t="s">
        <v>539</v>
      </c>
    </row>
    <row r="56" spans="2:14" s="820" customFormat="1" ht="30" hidden="1" customHeight="1" x14ac:dyDescent="0.25">
      <c r="B56" s="848">
        <f>D56*F56</f>
        <v>11550</v>
      </c>
      <c r="C56" s="823" t="s">
        <v>257</v>
      </c>
      <c r="D56" s="849">
        <v>90</v>
      </c>
      <c r="E56" s="823" t="s">
        <v>248</v>
      </c>
      <c r="F56" s="850">
        <f>B30</f>
        <v>128.33333333333334</v>
      </c>
    </row>
    <row r="57" spans="2:14" hidden="1" x14ac:dyDescent="0.25"/>
    <row r="58" spans="2:14" x14ac:dyDescent="0.25">
      <c r="B58" s="832" t="s">
        <v>552</v>
      </c>
      <c r="C58" s="833"/>
      <c r="D58" s="833"/>
      <c r="E58" s="833"/>
      <c r="F58" s="833"/>
      <c r="G58" s="833"/>
      <c r="H58" s="834"/>
    </row>
    <row r="59" spans="2:14" ht="18" x14ac:dyDescent="0.35">
      <c r="B59" s="166" t="s">
        <v>554</v>
      </c>
      <c r="C59" s="825" t="s">
        <v>257</v>
      </c>
      <c r="D59" s="166">
        <v>16.5</v>
      </c>
      <c r="E59" s="825" t="s">
        <v>188</v>
      </c>
      <c r="F59" s="824" t="s">
        <v>556</v>
      </c>
      <c r="G59" s="825" t="s">
        <v>248</v>
      </c>
      <c r="H59" s="166" t="s">
        <v>557</v>
      </c>
      <c r="N59" t="s">
        <v>553</v>
      </c>
    </row>
    <row r="60" spans="2:14" ht="18" x14ac:dyDescent="0.35">
      <c r="B60" s="388" t="s">
        <v>555</v>
      </c>
      <c r="C60" s="826"/>
      <c r="D60" s="388" t="s">
        <v>584</v>
      </c>
      <c r="E60" s="826"/>
      <c r="F60" s="816" t="s">
        <v>62</v>
      </c>
      <c r="G60" s="826"/>
      <c r="H60" s="388" t="s">
        <v>509</v>
      </c>
      <c r="N60" t="s">
        <v>558</v>
      </c>
    </row>
    <row r="61" spans="2:14" x14ac:dyDescent="0.25">
      <c r="B61" s="862">
        <f>D61-(F61*H61)</f>
        <v>10.083333333333332</v>
      </c>
      <c r="C61" s="857" t="s">
        <v>257</v>
      </c>
      <c r="D61" s="858">
        <v>16.5</v>
      </c>
      <c r="E61" s="859" t="s">
        <v>188</v>
      </c>
      <c r="F61" s="861">
        <f>B30</f>
        <v>128.33333333333334</v>
      </c>
      <c r="G61" s="857" t="s">
        <v>248</v>
      </c>
      <c r="H61" s="860">
        <v>0.05</v>
      </c>
      <c r="N61" t="s">
        <v>582</v>
      </c>
    </row>
    <row r="62" spans="2:14" ht="18" x14ac:dyDescent="0.35">
      <c r="B62" s="6">
        <v>15</v>
      </c>
      <c r="C62" s="828"/>
      <c r="D62" s="54"/>
      <c r="E62" s="815"/>
      <c r="F62" s="54"/>
      <c r="G62" s="828"/>
      <c r="H62" s="389"/>
      <c r="N62" t="s">
        <v>583</v>
      </c>
    </row>
    <row r="63" spans="2:14" x14ac:dyDescent="0.25">
      <c r="B63" s="6" t="s">
        <v>59</v>
      </c>
      <c r="C63" s="863" t="s">
        <v>257</v>
      </c>
      <c r="D63" s="6" t="s">
        <v>555</v>
      </c>
      <c r="E63" s="854" t="s">
        <v>248</v>
      </c>
      <c r="F63" s="864" t="s">
        <v>62</v>
      </c>
      <c r="G63" s="855"/>
      <c r="H63" s="653"/>
    </row>
    <row r="64" spans="2:14" x14ac:dyDescent="0.25">
      <c r="B64" s="165">
        <f>D64*F64</f>
        <v>1925.0000000000002</v>
      </c>
      <c r="C64" s="857" t="s">
        <v>257</v>
      </c>
      <c r="D64" s="54">
        <f>B62</f>
        <v>15</v>
      </c>
      <c r="E64" s="828" t="s">
        <v>248</v>
      </c>
      <c r="F64" s="830">
        <f>B30</f>
        <v>128.33333333333334</v>
      </c>
      <c r="G64" s="855"/>
      <c r="H64" s="653"/>
    </row>
    <row r="65" spans="2:14" x14ac:dyDescent="0.25">
      <c r="B65" s="844"/>
    </row>
    <row r="66" spans="2:14" ht="18" x14ac:dyDescent="0.35">
      <c r="B66" s="832" t="s">
        <v>585</v>
      </c>
      <c r="C66" s="833"/>
      <c r="D66" s="833"/>
      <c r="E66" s="833"/>
      <c r="F66" s="833"/>
      <c r="G66" s="833"/>
      <c r="H66" s="834"/>
      <c r="N66" t="s">
        <v>588</v>
      </c>
    </row>
    <row r="67" spans="2:14" ht="18" x14ac:dyDescent="0.25">
      <c r="B67" s="301" t="s">
        <v>571</v>
      </c>
      <c r="C67" s="825" t="s">
        <v>257</v>
      </c>
      <c r="D67" s="55" t="s">
        <v>566</v>
      </c>
      <c r="E67" s="825" t="s">
        <v>248</v>
      </c>
      <c r="F67" s="55" t="s">
        <v>572</v>
      </c>
      <c r="G67" s="825" t="s">
        <v>248</v>
      </c>
      <c r="H67" s="336" t="s">
        <v>574</v>
      </c>
    </row>
    <row r="68" spans="2:14" x14ac:dyDescent="0.25">
      <c r="B68" s="393" t="s">
        <v>59</v>
      </c>
      <c r="C68" s="826"/>
      <c r="D68" s="89" t="s">
        <v>518</v>
      </c>
      <c r="E68" s="826"/>
      <c r="F68" s="89" t="s">
        <v>573</v>
      </c>
      <c r="G68" s="826"/>
      <c r="H68" s="338" t="s">
        <v>509</v>
      </c>
    </row>
    <row r="69" spans="2:14" ht="30" customHeight="1" x14ac:dyDescent="0.25">
      <c r="B69" s="801">
        <f>D69*F69*H69</f>
        <v>51692.256000000001</v>
      </c>
      <c r="C69" s="815" t="s">
        <v>257</v>
      </c>
      <c r="D69" s="847">
        <f>B40</f>
        <v>594</v>
      </c>
      <c r="E69" s="828" t="s">
        <v>248</v>
      </c>
      <c r="F69" s="54">
        <v>3626</v>
      </c>
      <c r="G69" s="828" t="s">
        <v>248</v>
      </c>
      <c r="H69" s="389">
        <v>2.4E-2</v>
      </c>
    </row>
    <row r="71" spans="2:14" x14ac:dyDescent="0.25">
      <c r="B71" s="926" t="s">
        <v>575</v>
      </c>
      <c r="C71" s="926"/>
      <c r="D71" s="926"/>
      <c r="E71" s="926"/>
      <c r="F71" s="926"/>
    </row>
    <row r="72" spans="2:14" x14ac:dyDescent="0.25">
      <c r="B72" s="619" t="s">
        <v>590</v>
      </c>
      <c r="C72" s="619"/>
      <c r="D72" s="619"/>
      <c r="E72" s="619"/>
      <c r="F72" s="619"/>
    </row>
    <row r="73" spans="2:14" x14ac:dyDescent="0.25">
      <c r="B73" s="619"/>
      <c r="C73" s="619"/>
      <c r="D73" s="619"/>
      <c r="E73" s="619"/>
      <c r="F73" s="619"/>
    </row>
    <row r="75" spans="2:14" x14ac:dyDescent="0.25">
      <c r="B75" s="926" t="s">
        <v>6</v>
      </c>
      <c r="C75" s="926"/>
      <c r="D75" s="926"/>
      <c r="E75" s="926"/>
      <c r="F75" s="926"/>
    </row>
    <row r="76" spans="2:14" x14ac:dyDescent="0.25">
      <c r="B76" s="619" t="s">
        <v>590</v>
      </c>
      <c r="C76" s="619"/>
      <c r="D76" s="619"/>
      <c r="E76" s="619"/>
      <c r="F76" s="619"/>
    </row>
    <row r="77" spans="2:14" x14ac:dyDescent="0.25">
      <c r="B77" s="619"/>
      <c r="C77" s="619"/>
      <c r="D77" s="619"/>
      <c r="E77" s="619"/>
      <c r="F77" s="619"/>
    </row>
  </sheetData>
  <mergeCells count="54">
    <mergeCell ref="B71:F71"/>
    <mergeCell ref="B72:F73"/>
    <mergeCell ref="B75:F75"/>
    <mergeCell ref="B76:F77"/>
    <mergeCell ref="C67:C68"/>
    <mergeCell ref="E67:E68"/>
    <mergeCell ref="G67:G68"/>
    <mergeCell ref="B66:H66"/>
    <mergeCell ref="F45:H45"/>
    <mergeCell ref="F46:H46"/>
    <mergeCell ref="C59:C60"/>
    <mergeCell ref="E59:E60"/>
    <mergeCell ref="G59:G60"/>
    <mergeCell ref="B58:H58"/>
    <mergeCell ref="B37:F37"/>
    <mergeCell ref="C38:C39"/>
    <mergeCell ref="E38:E39"/>
    <mergeCell ref="B2:F2"/>
    <mergeCell ref="B27:F27"/>
    <mergeCell ref="B32:H32"/>
    <mergeCell ref="B42:L42"/>
    <mergeCell ref="B48:H48"/>
    <mergeCell ref="B53:F53"/>
    <mergeCell ref="J45:L45"/>
    <mergeCell ref="C54:C55"/>
    <mergeCell ref="E54:E55"/>
    <mergeCell ref="B12:F12"/>
    <mergeCell ref="B17:F17"/>
    <mergeCell ref="B22:F22"/>
    <mergeCell ref="C49:C50"/>
    <mergeCell ref="E49:E50"/>
    <mergeCell ref="G49:G50"/>
    <mergeCell ref="I43:I44"/>
    <mergeCell ref="K43:K44"/>
    <mergeCell ref="J46:L46"/>
    <mergeCell ref="C33:C34"/>
    <mergeCell ref="E33:E34"/>
    <mergeCell ref="G33:G34"/>
    <mergeCell ref="C43:C44"/>
    <mergeCell ref="E43:E44"/>
    <mergeCell ref="G43:G44"/>
    <mergeCell ref="C18:C19"/>
    <mergeCell ref="E18:E19"/>
    <mergeCell ref="C23:C24"/>
    <mergeCell ref="E23:E24"/>
    <mergeCell ref="C28:C29"/>
    <mergeCell ref="E28:E29"/>
    <mergeCell ref="C3:C4"/>
    <mergeCell ref="E3:E4"/>
    <mergeCell ref="C8:C9"/>
    <mergeCell ref="E8:E9"/>
    <mergeCell ref="C13:C14"/>
    <mergeCell ref="E13:E14"/>
    <mergeCell ref="B7:F7"/>
  </mergeCells>
  <pageMargins left="0.7" right="0.7" top="0.78740157499999996" bottom="0.78740157499999996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ACAF-5531-4913-ADD0-0CF559D10033}">
  <dimension ref="A1:L102"/>
  <sheetViews>
    <sheetView topLeftCell="A86" workbookViewId="0">
      <selection activeCell="F100" sqref="F100"/>
    </sheetView>
  </sheetViews>
  <sheetFormatPr baseColWidth="10" defaultRowHeight="15" x14ac:dyDescent="0.25"/>
  <cols>
    <col min="1" max="1" width="23" customWidth="1"/>
    <col min="2" max="2" width="25.28515625" customWidth="1"/>
    <col min="3" max="11" width="8.5703125" customWidth="1"/>
  </cols>
  <sheetData>
    <row r="1" spans="1:12" ht="15.75" x14ac:dyDescent="0.25">
      <c r="A1" s="538" t="s">
        <v>275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</row>
    <row r="2" spans="1:12" x14ac:dyDescent="0.25">
      <c r="A2" s="581" t="s">
        <v>276</v>
      </c>
      <c r="B2" s="582"/>
      <c r="C2" s="582"/>
      <c r="D2" s="582"/>
      <c r="E2" s="582"/>
      <c r="F2" s="582"/>
      <c r="G2" s="582"/>
      <c r="H2" s="582"/>
      <c r="I2" s="582"/>
      <c r="J2" s="582"/>
      <c r="K2" s="583"/>
    </row>
    <row r="3" spans="1:12" x14ac:dyDescent="0.25">
      <c r="A3" s="591" t="s">
        <v>126</v>
      </c>
      <c r="B3" s="591" t="s">
        <v>127</v>
      </c>
      <c r="C3" s="594" t="s">
        <v>138</v>
      </c>
      <c r="D3" s="587"/>
      <c r="E3" s="587"/>
      <c r="F3" s="587"/>
      <c r="G3" s="587"/>
      <c r="H3" s="587"/>
      <c r="I3" s="587"/>
      <c r="J3" s="587"/>
      <c r="K3" s="588"/>
    </row>
    <row r="4" spans="1:12" ht="45" x14ac:dyDescent="0.25">
      <c r="A4" s="591"/>
      <c r="B4" s="591"/>
      <c r="C4" s="107" t="s">
        <v>129</v>
      </c>
      <c r="D4" s="107" t="s">
        <v>130</v>
      </c>
      <c r="E4" s="107" t="s">
        <v>131</v>
      </c>
      <c r="F4" s="107" t="s">
        <v>132</v>
      </c>
      <c r="G4" s="107" t="s">
        <v>133</v>
      </c>
      <c r="H4" s="107" t="s">
        <v>134</v>
      </c>
      <c r="I4" s="107" t="s">
        <v>135</v>
      </c>
      <c r="J4" s="107" t="s">
        <v>136</v>
      </c>
      <c r="K4" s="107" t="s">
        <v>274</v>
      </c>
      <c r="L4" s="156"/>
    </row>
    <row r="5" spans="1:12" x14ac:dyDescent="0.25">
      <c r="A5" s="591"/>
      <c r="B5" s="591"/>
      <c r="C5" s="591" t="s">
        <v>137</v>
      </c>
      <c r="D5" s="591"/>
      <c r="E5" s="591"/>
      <c r="F5" s="591"/>
      <c r="G5" s="591"/>
      <c r="H5" s="591"/>
      <c r="I5" s="591"/>
      <c r="J5" s="591"/>
      <c r="K5" s="591"/>
    </row>
    <row r="6" spans="1:12" ht="30" customHeight="1" x14ac:dyDescent="0.25">
      <c r="A6" s="593" t="s">
        <v>61</v>
      </c>
      <c r="B6" s="104" t="s">
        <v>139</v>
      </c>
      <c r="C6" s="6">
        <v>2.1</v>
      </c>
      <c r="D6" s="6">
        <v>2.1</v>
      </c>
      <c r="E6" s="6">
        <v>2.1</v>
      </c>
      <c r="F6" s="6">
        <v>1.3</v>
      </c>
      <c r="G6" s="6">
        <v>1.3</v>
      </c>
      <c r="H6" s="109">
        <v>0.6</v>
      </c>
      <c r="I6" s="109">
        <v>0.4</v>
      </c>
      <c r="J6" s="109">
        <v>0.3</v>
      </c>
      <c r="K6" s="109">
        <v>0.2</v>
      </c>
      <c r="L6" s="109"/>
    </row>
    <row r="7" spans="1:12" ht="30" customHeight="1" x14ac:dyDescent="0.25">
      <c r="A7" s="593"/>
      <c r="B7" s="104" t="s">
        <v>140</v>
      </c>
      <c r="C7" s="6">
        <v>2.6</v>
      </c>
      <c r="D7" s="6">
        <v>1.4</v>
      </c>
      <c r="E7" s="6">
        <v>1.4</v>
      </c>
      <c r="F7" s="6">
        <v>1.4</v>
      </c>
      <c r="G7" s="109">
        <v>0.8</v>
      </c>
      <c r="H7" s="109">
        <v>0.7</v>
      </c>
      <c r="I7" s="109">
        <v>0.5</v>
      </c>
      <c r="J7" s="109">
        <v>0.3</v>
      </c>
      <c r="K7" s="109">
        <v>0.2</v>
      </c>
      <c r="L7" s="109"/>
    </row>
    <row r="8" spans="1:12" ht="13.5" customHeight="1" x14ac:dyDescent="0.25">
      <c r="A8" s="108"/>
      <c r="B8" s="104"/>
      <c r="C8" s="6"/>
      <c r="D8" s="6"/>
      <c r="E8" s="6"/>
      <c r="F8" s="6"/>
      <c r="G8" s="109"/>
      <c r="H8" s="109"/>
      <c r="I8" s="109"/>
      <c r="J8" s="109"/>
      <c r="K8" s="109"/>
    </row>
    <row r="9" spans="1:12" ht="30.75" customHeight="1" x14ac:dyDescent="0.25">
      <c r="A9" s="593" t="s">
        <v>141</v>
      </c>
      <c r="B9" s="104" t="s">
        <v>142</v>
      </c>
      <c r="C9" s="6">
        <v>2.1</v>
      </c>
      <c r="D9" s="6">
        <v>2.1</v>
      </c>
      <c r="E9" s="6">
        <v>2.1</v>
      </c>
      <c r="F9" s="6">
        <v>2.1</v>
      </c>
      <c r="G9" s="109">
        <v>0.6</v>
      </c>
      <c r="H9" s="109">
        <v>0.6</v>
      </c>
      <c r="I9" s="109">
        <v>0.3</v>
      </c>
      <c r="J9" s="109">
        <v>0.3</v>
      </c>
      <c r="K9" s="109">
        <v>0.2</v>
      </c>
      <c r="L9" s="109"/>
    </row>
    <row r="10" spans="1:12" ht="30.75" customHeight="1" x14ac:dyDescent="0.25">
      <c r="A10" s="593"/>
      <c r="B10" s="104" t="s">
        <v>143</v>
      </c>
      <c r="C10" s="6">
        <v>1</v>
      </c>
      <c r="D10" s="6">
        <v>1</v>
      </c>
      <c r="E10" s="109">
        <v>0.8</v>
      </c>
      <c r="F10" s="109">
        <v>0.7</v>
      </c>
      <c r="G10" s="109">
        <v>0.6</v>
      </c>
      <c r="H10" s="109">
        <v>0.4</v>
      </c>
      <c r="I10" s="109">
        <v>0.3</v>
      </c>
      <c r="J10" s="109">
        <v>0.3</v>
      </c>
      <c r="K10" s="109">
        <v>0.3</v>
      </c>
      <c r="L10" s="109"/>
    </row>
    <row r="11" spans="1:12" ht="15" customHeight="1" x14ac:dyDescent="0.25">
      <c r="A11" s="108"/>
      <c r="B11" s="104"/>
      <c r="C11" s="6"/>
      <c r="D11" s="6"/>
      <c r="E11" s="109"/>
      <c r="F11" s="109"/>
      <c r="G11" s="109"/>
      <c r="H11" s="109"/>
      <c r="I11" s="109"/>
      <c r="J11" s="109"/>
      <c r="K11" s="109"/>
    </row>
    <row r="12" spans="1:12" ht="30.75" customHeight="1" x14ac:dyDescent="0.25">
      <c r="A12" s="595" t="s">
        <v>144</v>
      </c>
      <c r="B12" s="111" t="s">
        <v>145</v>
      </c>
      <c r="C12" s="6">
        <v>1.3</v>
      </c>
      <c r="D12" s="6">
        <v>1.3</v>
      </c>
      <c r="E12" s="6">
        <v>1.3</v>
      </c>
      <c r="F12" s="6">
        <v>1.4</v>
      </c>
      <c r="G12" s="109">
        <v>1</v>
      </c>
      <c r="H12" s="109">
        <v>0.8</v>
      </c>
      <c r="I12" s="109">
        <v>0.6</v>
      </c>
      <c r="J12" s="109">
        <v>0.5</v>
      </c>
      <c r="K12" s="109">
        <v>0.4</v>
      </c>
    </row>
    <row r="13" spans="1:12" ht="30" customHeight="1" x14ac:dyDescent="0.25">
      <c r="A13" s="595"/>
      <c r="B13" s="111" t="s">
        <v>146</v>
      </c>
      <c r="C13" s="9" t="s">
        <v>147</v>
      </c>
      <c r="D13" s="9" t="s">
        <v>147</v>
      </c>
      <c r="E13" s="109">
        <v>1</v>
      </c>
      <c r="F13" s="109">
        <v>0.9</v>
      </c>
      <c r="G13" s="109">
        <v>0.9</v>
      </c>
      <c r="H13" s="109">
        <v>0.7</v>
      </c>
      <c r="I13" s="109">
        <v>0.5</v>
      </c>
      <c r="J13" s="109">
        <v>0.5</v>
      </c>
      <c r="K13" s="109">
        <v>0.4</v>
      </c>
    </row>
    <row r="14" spans="1:12" ht="30" customHeight="1" x14ac:dyDescent="0.25">
      <c r="A14" s="595"/>
      <c r="B14" s="113" t="s">
        <v>148</v>
      </c>
      <c r="C14" s="6">
        <v>2.8</v>
      </c>
      <c r="D14" s="6">
        <v>2.8</v>
      </c>
      <c r="E14" s="6">
        <v>2.8</v>
      </c>
      <c r="F14" s="9" t="s">
        <v>147</v>
      </c>
      <c r="G14" s="9" t="s">
        <v>147</v>
      </c>
      <c r="H14" s="9" t="s">
        <v>147</v>
      </c>
      <c r="I14" s="9" t="s">
        <v>147</v>
      </c>
      <c r="J14" s="9" t="s">
        <v>147</v>
      </c>
      <c r="K14" s="9" t="s">
        <v>147</v>
      </c>
    </row>
    <row r="15" spans="1:12" ht="30.75" customHeight="1" x14ac:dyDescent="0.25">
      <c r="A15" s="595"/>
      <c r="B15" s="113" t="s">
        <v>149</v>
      </c>
      <c r="C15" s="6">
        <v>1.8</v>
      </c>
      <c r="D15" s="6">
        <v>1.8</v>
      </c>
      <c r="E15" s="6">
        <v>1.8</v>
      </c>
      <c r="F15" s="9" t="s">
        <v>147</v>
      </c>
      <c r="G15" s="9" t="s">
        <v>147</v>
      </c>
      <c r="H15" s="9" t="s">
        <v>147</v>
      </c>
      <c r="I15" s="9" t="s">
        <v>147</v>
      </c>
      <c r="J15" s="9" t="s">
        <v>147</v>
      </c>
      <c r="K15" s="9" t="s">
        <v>147</v>
      </c>
    </row>
    <row r="16" spans="1:12" ht="30" customHeight="1" x14ac:dyDescent="0.25">
      <c r="A16" s="595"/>
      <c r="B16" s="113" t="s">
        <v>434</v>
      </c>
      <c r="C16" s="6">
        <v>1.5</v>
      </c>
      <c r="D16" s="6">
        <v>1.5</v>
      </c>
      <c r="E16" s="6">
        <v>1.5</v>
      </c>
      <c r="F16" s="9" t="s">
        <v>147</v>
      </c>
      <c r="G16" s="9" t="s">
        <v>147</v>
      </c>
      <c r="H16" s="9" t="s">
        <v>147</v>
      </c>
      <c r="I16" s="9" t="s">
        <v>147</v>
      </c>
      <c r="J16" s="9" t="s">
        <v>147</v>
      </c>
      <c r="K16" s="9" t="s">
        <v>147</v>
      </c>
    </row>
    <row r="17" spans="1:11" ht="30" customHeight="1" x14ac:dyDescent="0.25">
      <c r="A17" s="595"/>
      <c r="B17" s="113" t="s">
        <v>150</v>
      </c>
      <c r="C17" s="6">
        <v>1.4</v>
      </c>
      <c r="D17" s="6">
        <v>1.4</v>
      </c>
      <c r="E17" s="6">
        <v>1.4</v>
      </c>
      <c r="F17" s="6">
        <v>1.4</v>
      </c>
      <c r="G17" s="114">
        <v>1</v>
      </c>
      <c r="H17" s="109">
        <v>0.8</v>
      </c>
      <c r="I17" s="109">
        <v>0.6</v>
      </c>
      <c r="J17" s="109">
        <v>0.5</v>
      </c>
      <c r="K17" s="109">
        <v>0.4</v>
      </c>
    </row>
    <row r="18" spans="1:11" ht="45" customHeight="1" x14ac:dyDescent="0.25">
      <c r="A18" s="595"/>
      <c r="B18" s="113" t="s">
        <v>151</v>
      </c>
      <c r="C18" s="114">
        <v>3</v>
      </c>
      <c r="D18" s="114">
        <v>3</v>
      </c>
      <c r="E18" s="114">
        <v>3</v>
      </c>
      <c r="F18" s="6">
        <v>1.4</v>
      </c>
      <c r="G18" s="114">
        <v>1</v>
      </c>
      <c r="H18" s="109">
        <v>0.8</v>
      </c>
      <c r="I18" s="109">
        <v>0.7</v>
      </c>
      <c r="J18" s="109">
        <v>0.7</v>
      </c>
      <c r="K18" s="109">
        <v>0.4</v>
      </c>
    </row>
    <row r="19" spans="1:11" ht="32.25" customHeight="1" x14ac:dyDescent="0.25">
      <c r="A19" s="595"/>
      <c r="B19" s="113" t="s">
        <v>152</v>
      </c>
      <c r="C19" s="6">
        <v>2.2000000000000002</v>
      </c>
      <c r="D19" s="6">
        <v>2.2000000000000002</v>
      </c>
      <c r="E19" s="6">
        <v>2.2000000000000002</v>
      </c>
      <c r="F19" s="6">
        <v>1.4</v>
      </c>
      <c r="G19" s="114">
        <v>1</v>
      </c>
      <c r="H19" s="109">
        <v>0.8</v>
      </c>
      <c r="I19" s="109">
        <v>0.6</v>
      </c>
      <c r="J19" s="109">
        <v>0.5</v>
      </c>
      <c r="K19" s="109">
        <v>0.4</v>
      </c>
    </row>
    <row r="20" spans="1:11" ht="15.75" customHeight="1" x14ac:dyDescent="0.25">
      <c r="A20" s="110"/>
      <c r="B20" s="113"/>
      <c r="C20" s="6"/>
      <c r="D20" s="6"/>
      <c r="E20" s="6"/>
      <c r="F20" s="6"/>
      <c r="G20" s="114"/>
      <c r="H20" s="109"/>
      <c r="I20" s="109"/>
      <c r="J20" s="109"/>
      <c r="K20" s="109"/>
    </row>
    <row r="21" spans="1:11" ht="44.25" customHeight="1" x14ac:dyDescent="0.25">
      <c r="A21" s="595" t="s">
        <v>153</v>
      </c>
      <c r="B21" s="111" t="s">
        <v>154</v>
      </c>
      <c r="C21" s="109">
        <v>0.5</v>
      </c>
      <c r="D21" s="109">
        <v>0.5</v>
      </c>
      <c r="E21" s="109">
        <v>0.5</v>
      </c>
      <c r="F21" s="109">
        <v>0.5</v>
      </c>
      <c r="G21" s="109">
        <v>0.5</v>
      </c>
      <c r="H21" s="109">
        <v>0.5</v>
      </c>
      <c r="I21" s="109">
        <v>0.4</v>
      </c>
      <c r="J21" s="109">
        <v>0.4</v>
      </c>
      <c r="K21" s="109">
        <v>0.3</v>
      </c>
    </row>
    <row r="22" spans="1:11" ht="30" customHeight="1" x14ac:dyDescent="0.25">
      <c r="A22" s="595"/>
      <c r="B22" s="111" t="s">
        <v>155</v>
      </c>
      <c r="C22" s="114">
        <v>2</v>
      </c>
      <c r="D22" s="114">
        <v>2</v>
      </c>
      <c r="E22" s="6">
        <v>1.5</v>
      </c>
      <c r="F22" s="6">
        <v>1.4</v>
      </c>
      <c r="G22" s="109">
        <v>0.6</v>
      </c>
      <c r="H22" s="109">
        <v>0.5</v>
      </c>
      <c r="I22" s="109">
        <v>0.4</v>
      </c>
      <c r="J22" s="109">
        <v>0.4</v>
      </c>
      <c r="K22" s="109">
        <v>0.3</v>
      </c>
    </row>
    <row r="23" spans="1:11" ht="15" customHeight="1" x14ac:dyDescent="0.25">
      <c r="A23" s="110"/>
      <c r="B23" s="111"/>
      <c r="C23" s="114"/>
      <c r="D23" s="114"/>
      <c r="E23" s="6"/>
      <c r="F23" s="6"/>
      <c r="G23" s="109"/>
      <c r="H23" s="109"/>
      <c r="I23" s="109"/>
      <c r="J23" s="109"/>
      <c r="K23" s="109"/>
    </row>
    <row r="24" spans="1:11" ht="30" customHeight="1" x14ac:dyDescent="0.25">
      <c r="A24" s="595" t="s">
        <v>156</v>
      </c>
      <c r="B24" s="113" t="s">
        <v>157</v>
      </c>
      <c r="C24" s="6">
        <v>1.6</v>
      </c>
      <c r="D24" s="6">
        <v>1.6</v>
      </c>
      <c r="E24" s="6">
        <v>2.2999999999999998</v>
      </c>
      <c r="F24" s="114">
        <v>1</v>
      </c>
      <c r="G24" s="114">
        <v>1</v>
      </c>
      <c r="H24" s="109">
        <v>0.8</v>
      </c>
      <c r="I24" s="109">
        <v>0.6</v>
      </c>
      <c r="J24" s="109">
        <v>0.6</v>
      </c>
      <c r="K24" s="109">
        <v>0.5</v>
      </c>
    </row>
    <row r="25" spans="1:11" ht="30" x14ac:dyDescent="0.25">
      <c r="A25" s="595"/>
      <c r="B25" s="112" t="s">
        <v>158</v>
      </c>
      <c r="C25" s="114">
        <v>1</v>
      </c>
      <c r="D25" s="114">
        <v>1</v>
      </c>
      <c r="E25" s="114">
        <v>1</v>
      </c>
      <c r="F25" s="6">
        <v>0.8</v>
      </c>
      <c r="G25" s="6">
        <v>0.6</v>
      </c>
      <c r="H25" s="109">
        <v>0.6</v>
      </c>
      <c r="I25" s="109">
        <v>0.4</v>
      </c>
      <c r="J25" s="109">
        <v>0.4</v>
      </c>
      <c r="K25" s="109">
        <v>0.4</v>
      </c>
    </row>
    <row r="26" spans="1:11" ht="30" x14ac:dyDescent="0.25">
      <c r="A26" s="595"/>
      <c r="B26" s="112" t="s">
        <v>159</v>
      </c>
      <c r="C26" s="6">
        <v>1.6</v>
      </c>
      <c r="D26" s="6">
        <v>1.6</v>
      </c>
      <c r="E26" s="6">
        <v>2.2999999999999998</v>
      </c>
      <c r="F26" s="6">
        <v>1.2</v>
      </c>
      <c r="G26" s="6">
        <v>1.2</v>
      </c>
      <c r="H26" s="109">
        <v>0.8</v>
      </c>
      <c r="I26" s="109">
        <v>0.6</v>
      </c>
      <c r="J26" s="109">
        <v>0.6</v>
      </c>
      <c r="K26" s="109">
        <v>0.5</v>
      </c>
    </row>
    <row r="27" spans="1:11" x14ac:dyDescent="0.25">
      <c r="A27" s="110"/>
      <c r="B27" s="112"/>
      <c r="C27" s="6"/>
      <c r="D27" s="6"/>
      <c r="E27" s="6"/>
      <c r="F27" s="6"/>
      <c r="G27" s="6"/>
      <c r="H27" s="109"/>
      <c r="I27" s="109"/>
      <c r="J27" s="109"/>
      <c r="K27" s="109"/>
    </row>
    <row r="28" spans="1:11" ht="30" customHeight="1" x14ac:dyDescent="0.25">
      <c r="A28" s="593" t="s">
        <v>160</v>
      </c>
      <c r="B28" s="104" t="s">
        <v>161</v>
      </c>
      <c r="C28" s="592">
        <v>4</v>
      </c>
      <c r="D28" s="592"/>
      <c r="E28" s="592"/>
      <c r="F28" s="592"/>
      <c r="G28" s="592"/>
      <c r="H28" s="592"/>
      <c r="I28" s="592"/>
      <c r="J28" s="592"/>
      <c r="K28" s="592"/>
    </row>
    <row r="29" spans="1:11" ht="45.75" customHeight="1" x14ac:dyDescent="0.25">
      <c r="A29" s="593"/>
      <c r="B29" s="111" t="s">
        <v>162</v>
      </c>
      <c r="C29" s="480">
        <v>2.9</v>
      </c>
      <c r="D29" s="480"/>
      <c r="E29" s="480"/>
      <c r="F29" s="480"/>
      <c r="G29" s="480"/>
      <c r="H29" s="480"/>
      <c r="I29" s="480"/>
      <c r="J29" s="480"/>
      <c r="K29" s="480"/>
    </row>
    <row r="31" spans="1:11" x14ac:dyDescent="0.25">
      <c r="A31" s="591" t="s">
        <v>126</v>
      </c>
      <c r="B31" s="591" t="s">
        <v>127</v>
      </c>
      <c r="C31" s="591"/>
      <c r="D31" s="591"/>
      <c r="E31" s="591"/>
      <c r="F31" s="589" t="s">
        <v>166</v>
      </c>
      <c r="G31" s="591" t="s">
        <v>165</v>
      </c>
      <c r="H31" s="591"/>
      <c r="I31" s="591"/>
      <c r="J31" s="591"/>
      <c r="K31" s="591"/>
    </row>
    <row r="32" spans="1:11" ht="15" customHeight="1" x14ac:dyDescent="0.25">
      <c r="A32" s="591"/>
      <c r="B32" s="591"/>
      <c r="C32" s="591"/>
      <c r="D32" s="591"/>
      <c r="E32" s="591"/>
      <c r="F32" s="591"/>
      <c r="G32" s="589" t="s">
        <v>164</v>
      </c>
      <c r="H32" s="589" t="s">
        <v>134</v>
      </c>
      <c r="I32" s="589" t="s">
        <v>135</v>
      </c>
      <c r="J32" s="589" t="s">
        <v>136</v>
      </c>
      <c r="K32" s="589" t="s">
        <v>163</v>
      </c>
    </row>
    <row r="33" spans="1:11" x14ac:dyDescent="0.25">
      <c r="A33" s="591"/>
      <c r="B33" s="591"/>
      <c r="C33" s="591"/>
      <c r="D33" s="591"/>
      <c r="E33" s="591"/>
      <c r="F33" s="591"/>
      <c r="G33" s="591"/>
      <c r="H33" s="591"/>
      <c r="I33" s="591"/>
      <c r="J33" s="589"/>
      <c r="K33" s="589"/>
    </row>
    <row r="34" spans="1:11" x14ac:dyDescent="0.25">
      <c r="A34" s="591"/>
      <c r="B34" s="597"/>
      <c r="C34" s="597"/>
      <c r="D34" s="597"/>
      <c r="E34" s="597"/>
      <c r="F34" s="591"/>
      <c r="G34" s="591"/>
      <c r="H34" s="597"/>
      <c r="I34" s="597"/>
      <c r="J34" s="590"/>
      <c r="K34" s="590"/>
    </row>
    <row r="35" spans="1:11" ht="30" customHeight="1" x14ac:dyDescent="0.25">
      <c r="A35" s="598" t="s">
        <v>167</v>
      </c>
      <c r="B35" s="38" t="s">
        <v>168</v>
      </c>
      <c r="C35" s="40"/>
      <c r="D35" s="40"/>
      <c r="E35" s="39"/>
      <c r="F35" s="151" t="s">
        <v>169</v>
      </c>
      <c r="G35" s="114">
        <v>5</v>
      </c>
      <c r="H35" s="9" t="s">
        <v>147</v>
      </c>
      <c r="I35" s="9" t="s">
        <v>147</v>
      </c>
      <c r="J35" s="9" t="s">
        <v>147</v>
      </c>
      <c r="K35" s="9" t="s">
        <v>147</v>
      </c>
    </row>
    <row r="36" spans="1:11" ht="30" x14ac:dyDescent="0.25">
      <c r="A36" s="598"/>
      <c r="B36" s="10"/>
      <c r="C36" s="11"/>
      <c r="D36" s="11"/>
      <c r="E36" s="12"/>
      <c r="F36" s="152" t="s">
        <v>170</v>
      </c>
      <c r="G36" s="6" t="s">
        <v>171</v>
      </c>
      <c r="H36" s="9" t="s">
        <v>147</v>
      </c>
      <c r="I36" s="9" t="s">
        <v>147</v>
      </c>
      <c r="J36" s="9" t="s">
        <v>147</v>
      </c>
      <c r="K36" s="9" t="s">
        <v>147</v>
      </c>
    </row>
    <row r="37" spans="1:11" ht="30" customHeight="1" x14ac:dyDescent="0.25">
      <c r="A37" s="598"/>
      <c r="B37" s="150" t="s">
        <v>172</v>
      </c>
      <c r="C37" s="137"/>
      <c r="D37" s="137"/>
      <c r="E37" s="153"/>
      <c r="F37" s="151" t="s">
        <v>169</v>
      </c>
      <c r="G37" s="6">
        <v>2.7</v>
      </c>
      <c r="H37" s="6">
        <v>2.7</v>
      </c>
      <c r="I37" s="6">
        <v>2.7</v>
      </c>
      <c r="J37" s="6">
        <v>1.6</v>
      </c>
      <c r="K37" s="6">
        <v>1.5</v>
      </c>
    </row>
    <row r="38" spans="1:11" ht="30" customHeight="1" x14ac:dyDescent="0.25">
      <c r="A38" s="598"/>
      <c r="B38" s="154"/>
      <c r="C38" s="138"/>
      <c r="D38" s="138"/>
      <c r="E38" s="155"/>
      <c r="F38" s="152" t="s">
        <v>170</v>
      </c>
      <c r="G38" s="6" t="s">
        <v>173</v>
      </c>
      <c r="H38" s="6" t="s">
        <v>173</v>
      </c>
      <c r="I38" s="6" t="s">
        <v>173</v>
      </c>
      <c r="J38" s="6" t="s">
        <v>174</v>
      </c>
      <c r="K38" s="6" t="s">
        <v>174</v>
      </c>
    </row>
    <row r="39" spans="1:11" ht="30.75" customHeight="1" x14ac:dyDescent="0.25">
      <c r="A39" s="598"/>
      <c r="B39" s="38" t="s">
        <v>176</v>
      </c>
      <c r="C39" s="40"/>
      <c r="D39" s="40"/>
      <c r="E39" s="39"/>
      <c r="F39" s="151" t="s">
        <v>169</v>
      </c>
      <c r="G39" s="114">
        <v>3</v>
      </c>
      <c r="H39" s="114">
        <v>3</v>
      </c>
      <c r="I39" s="114">
        <v>3</v>
      </c>
      <c r="J39" s="6">
        <v>1.9</v>
      </c>
      <c r="K39" s="6">
        <v>1.5</v>
      </c>
    </row>
    <row r="40" spans="1:11" ht="30" customHeight="1" x14ac:dyDescent="0.25">
      <c r="A40" s="598"/>
      <c r="B40" s="10"/>
      <c r="C40" s="11"/>
      <c r="D40" s="11"/>
      <c r="E40" s="12"/>
      <c r="F40" s="152" t="s">
        <v>170</v>
      </c>
      <c r="G40" s="6" t="s">
        <v>173</v>
      </c>
      <c r="H40" s="6" t="s">
        <v>173</v>
      </c>
      <c r="I40" s="6" t="s">
        <v>173</v>
      </c>
      <c r="J40" s="6" t="s">
        <v>174</v>
      </c>
      <c r="K40" s="6" t="s">
        <v>174</v>
      </c>
    </row>
    <row r="41" spans="1:11" ht="30" customHeight="1" x14ac:dyDescent="0.25">
      <c r="A41" s="598"/>
      <c r="B41" s="150" t="s">
        <v>177</v>
      </c>
      <c r="C41" s="137"/>
      <c r="D41" s="137"/>
      <c r="E41" s="153"/>
      <c r="F41" s="151" t="s">
        <v>169</v>
      </c>
      <c r="G41" s="6">
        <v>4.3</v>
      </c>
      <c r="H41" s="6">
        <v>4.3</v>
      </c>
      <c r="I41" s="6">
        <v>3.2</v>
      </c>
      <c r="J41" s="6">
        <v>1.9</v>
      </c>
      <c r="K41" s="6">
        <v>1.5</v>
      </c>
    </row>
    <row r="42" spans="1:11" ht="30.75" customHeight="1" x14ac:dyDescent="0.25">
      <c r="A42" s="598"/>
      <c r="B42" s="154"/>
      <c r="C42" s="138"/>
      <c r="D42" s="138"/>
      <c r="E42" s="155"/>
      <c r="F42" s="152" t="s">
        <v>170</v>
      </c>
      <c r="G42" s="6" t="s">
        <v>173</v>
      </c>
      <c r="H42" s="6" t="s">
        <v>173</v>
      </c>
      <c r="I42" s="6" t="s">
        <v>173</v>
      </c>
      <c r="J42" s="6" t="s">
        <v>174</v>
      </c>
      <c r="K42" s="6" t="s">
        <v>174</v>
      </c>
    </row>
    <row r="43" spans="1:11" x14ac:dyDescent="0.25">
      <c r="A43" t="s">
        <v>175</v>
      </c>
    </row>
    <row r="46" spans="1:11" x14ac:dyDescent="0.25">
      <c r="A46" t="s">
        <v>277</v>
      </c>
    </row>
    <row r="47" spans="1:11" x14ac:dyDescent="0.25">
      <c r="A47" s="596" t="s">
        <v>279</v>
      </c>
      <c r="B47" s="596"/>
      <c r="C47" s="591" t="s">
        <v>280</v>
      </c>
      <c r="D47" s="591"/>
      <c r="E47" s="591" t="s">
        <v>281</v>
      </c>
      <c r="F47" s="591"/>
      <c r="G47" s="591" t="s">
        <v>282</v>
      </c>
      <c r="H47" s="591"/>
    </row>
    <row r="48" spans="1:11" ht="18" x14ac:dyDescent="0.35">
      <c r="A48" s="157" t="s">
        <v>278</v>
      </c>
      <c r="B48" s="7"/>
      <c r="C48" s="158">
        <v>0.1</v>
      </c>
      <c r="D48" s="7"/>
      <c r="E48" s="5">
        <v>0.13</v>
      </c>
      <c r="F48" s="7"/>
      <c r="G48" s="5">
        <v>0.17</v>
      </c>
      <c r="H48" s="7"/>
    </row>
    <row r="49" spans="1:12" ht="18" x14ac:dyDescent="0.35">
      <c r="A49" s="159" t="s">
        <v>283</v>
      </c>
      <c r="B49" s="160"/>
      <c r="C49" s="161">
        <v>0.04</v>
      </c>
      <c r="D49" s="160"/>
      <c r="E49" s="162">
        <v>0.04</v>
      </c>
      <c r="F49" s="160"/>
      <c r="G49" s="162">
        <v>0.04</v>
      </c>
      <c r="H49" s="160"/>
    </row>
    <row r="52" spans="1:12" ht="15.75" x14ac:dyDescent="0.25">
      <c r="A52" s="538" t="s">
        <v>460</v>
      </c>
      <c r="B52" s="538"/>
      <c r="C52" s="538"/>
      <c r="D52" s="538"/>
      <c r="E52" s="538"/>
      <c r="F52" s="538"/>
      <c r="G52" s="538"/>
      <c r="H52" s="538"/>
      <c r="I52" s="538"/>
      <c r="J52" s="538"/>
      <c r="K52" s="538"/>
      <c r="L52" s="538"/>
    </row>
    <row r="53" spans="1:12" x14ac:dyDescent="0.25">
      <c r="A53" t="s">
        <v>461</v>
      </c>
    </row>
    <row r="55" spans="1:12" x14ac:dyDescent="0.25">
      <c r="A55" t="s">
        <v>462</v>
      </c>
    </row>
    <row r="56" spans="1:12" ht="15" customHeight="1" x14ac:dyDescent="0.25">
      <c r="A56" s="718" t="s">
        <v>464</v>
      </c>
      <c r="B56" s="719"/>
      <c r="C56" s="719"/>
      <c r="D56" s="720"/>
      <c r="E56" s="545" t="s">
        <v>463</v>
      </c>
      <c r="F56" s="545"/>
      <c r="G56" s="545"/>
      <c r="H56" s="545"/>
      <c r="I56" s="545"/>
      <c r="J56" s="545"/>
      <c r="K56" s="23"/>
    </row>
    <row r="57" spans="1:12" x14ac:dyDescent="0.25">
      <c r="A57" s="721"/>
      <c r="B57" s="722"/>
      <c r="C57" s="722"/>
      <c r="D57" s="723"/>
      <c r="E57" s="545"/>
      <c r="F57" s="545"/>
      <c r="G57" s="545"/>
      <c r="H57" s="545"/>
      <c r="I57" s="545"/>
      <c r="J57" s="545"/>
      <c r="K57" s="23"/>
    </row>
    <row r="58" spans="1:12" x14ac:dyDescent="0.25">
      <c r="A58" s="721"/>
      <c r="B58" s="722"/>
      <c r="C58" s="722"/>
      <c r="D58" s="723"/>
      <c r="E58" s="545"/>
      <c r="F58" s="545"/>
      <c r="G58" s="545"/>
      <c r="H58" s="545"/>
      <c r="I58" s="545"/>
      <c r="J58" s="545"/>
      <c r="K58" s="23"/>
    </row>
    <row r="59" spans="1:12" ht="15" customHeight="1" x14ac:dyDescent="0.25">
      <c r="A59" s="721"/>
      <c r="B59" s="722"/>
      <c r="C59" s="722"/>
      <c r="D59" s="723"/>
      <c r="E59" s="589" t="s">
        <v>465</v>
      </c>
      <c r="F59" s="589"/>
      <c r="G59" s="589"/>
      <c r="H59" s="793" t="s">
        <v>466</v>
      </c>
      <c r="I59" s="793"/>
      <c r="J59" s="793"/>
    </row>
    <row r="60" spans="1:12" x14ac:dyDescent="0.25">
      <c r="A60" s="721"/>
      <c r="B60" s="722"/>
      <c r="C60" s="722"/>
      <c r="D60" s="723"/>
      <c r="E60" s="589"/>
      <c r="F60" s="589"/>
      <c r="G60" s="589"/>
      <c r="H60" s="793"/>
      <c r="I60" s="793"/>
      <c r="J60" s="793"/>
    </row>
    <row r="61" spans="1:12" x14ac:dyDescent="0.25">
      <c r="A61" s="724"/>
      <c r="B61" s="725"/>
      <c r="C61" s="725"/>
      <c r="D61" s="726"/>
      <c r="E61" s="589"/>
      <c r="F61" s="589"/>
      <c r="G61" s="589"/>
      <c r="H61" s="793"/>
      <c r="I61" s="793"/>
      <c r="J61" s="793"/>
    </row>
    <row r="62" spans="1:12" x14ac:dyDescent="0.25">
      <c r="A62" s="619" t="s">
        <v>474</v>
      </c>
      <c r="B62" s="599"/>
      <c r="C62" s="599"/>
      <c r="D62" s="599"/>
      <c r="E62" s="599"/>
      <c r="F62" s="599"/>
      <c r="G62" s="599"/>
      <c r="H62" s="599"/>
      <c r="I62" s="599"/>
      <c r="J62" s="599"/>
    </row>
    <row r="63" spans="1:12" ht="15.75" thickBot="1" x14ac:dyDescent="0.3">
      <c r="A63" s="728"/>
      <c r="B63" s="728"/>
      <c r="C63" s="728"/>
      <c r="D63" s="728"/>
      <c r="E63" s="728"/>
      <c r="F63" s="728"/>
      <c r="G63" s="728"/>
      <c r="H63" s="599"/>
      <c r="I63" s="599"/>
      <c r="J63" s="599"/>
    </row>
    <row r="64" spans="1:12" ht="29.25" customHeight="1" thickBot="1" x14ac:dyDescent="0.3">
      <c r="A64" s="654" t="s">
        <v>467</v>
      </c>
      <c r="B64" s="105"/>
      <c r="C64" s="105"/>
      <c r="D64" s="105"/>
      <c r="E64" s="770"/>
      <c r="F64" s="778">
        <v>0.2</v>
      </c>
      <c r="G64" s="777"/>
      <c r="H64" s="773">
        <v>0.25</v>
      </c>
      <c r="I64" s="736"/>
      <c r="J64" s="736"/>
    </row>
    <row r="65" spans="1:10" ht="15" customHeight="1" x14ac:dyDescent="0.25">
      <c r="A65" s="733" t="s">
        <v>468</v>
      </c>
      <c r="B65" s="734"/>
      <c r="C65" s="734"/>
      <c r="D65" s="735"/>
      <c r="E65" s="774" t="s">
        <v>469</v>
      </c>
      <c r="F65" s="775"/>
      <c r="G65" s="776"/>
      <c r="H65" s="736" t="s">
        <v>470</v>
      </c>
      <c r="I65" s="736"/>
      <c r="J65" s="736"/>
    </row>
    <row r="66" spans="1:10" x14ac:dyDescent="0.25">
      <c r="A66" s="737"/>
      <c r="B66" s="738"/>
      <c r="C66" s="738"/>
      <c r="D66" s="739"/>
      <c r="E66" s="740"/>
      <c r="F66" s="741"/>
      <c r="G66" s="742"/>
      <c r="H66" s="736"/>
      <c r="I66" s="736"/>
      <c r="J66" s="736"/>
    </row>
    <row r="67" spans="1:10" x14ac:dyDescent="0.25">
      <c r="A67" s="743" t="s">
        <v>471</v>
      </c>
      <c r="B67" s="743"/>
      <c r="C67" s="743"/>
      <c r="D67" s="743"/>
      <c r="E67" s="744">
        <v>0.45</v>
      </c>
      <c r="F67" s="744"/>
      <c r="G67" s="740"/>
      <c r="H67" s="736">
        <v>0.55000000000000004</v>
      </c>
      <c r="I67" s="736"/>
      <c r="J67" s="736"/>
    </row>
    <row r="68" spans="1:10" x14ac:dyDescent="0.25">
      <c r="A68" s="745"/>
      <c r="B68" s="745"/>
      <c r="C68" s="745"/>
      <c r="D68" s="745"/>
      <c r="E68" s="736"/>
      <c r="F68" s="736"/>
      <c r="G68" s="746"/>
      <c r="H68" s="736"/>
      <c r="I68" s="736"/>
      <c r="J68" s="736"/>
    </row>
    <row r="69" spans="1:10" x14ac:dyDescent="0.25">
      <c r="A69" s="745" t="s">
        <v>472</v>
      </c>
      <c r="B69" s="745"/>
      <c r="C69" s="745"/>
      <c r="D69" s="745"/>
      <c r="E69" s="736">
        <v>0.65</v>
      </c>
      <c r="F69" s="736"/>
      <c r="G69" s="746"/>
      <c r="H69" s="736">
        <v>0.8</v>
      </c>
      <c r="I69" s="736"/>
      <c r="J69" s="736"/>
    </row>
    <row r="70" spans="1:10" x14ac:dyDescent="0.25">
      <c r="A70" s="745"/>
      <c r="B70" s="745"/>
      <c r="C70" s="745"/>
      <c r="D70" s="745"/>
      <c r="E70" s="736"/>
      <c r="F70" s="736"/>
      <c r="G70" s="746"/>
      <c r="H70" s="736"/>
      <c r="I70" s="736"/>
      <c r="J70" s="736"/>
    </row>
    <row r="71" spans="1:10" x14ac:dyDescent="0.25">
      <c r="A71" s="619" t="s">
        <v>473</v>
      </c>
      <c r="B71" s="619"/>
      <c r="C71" s="619"/>
      <c r="D71" s="619"/>
      <c r="E71" s="619"/>
      <c r="F71" s="619"/>
      <c r="G71" s="619"/>
      <c r="H71" s="619"/>
      <c r="I71" s="619"/>
      <c r="J71" s="619"/>
    </row>
    <row r="72" spans="1:10" ht="15.75" thickBot="1" x14ac:dyDescent="0.3">
      <c r="A72" s="619"/>
      <c r="B72" s="619"/>
      <c r="C72" s="619"/>
      <c r="D72" s="619"/>
      <c r="E72" s="747"/>
      <c r="F72" s="747"/>
      <c r="G72" s="747"/>
      <c r="H72" s="747"/>
      <c r="I72" s="747"/>
      <c r="J72" s="747"/>
    </row>
    <row r="73" spans="1:10" ht="28.5" customHeight="1" thickBot="1" x14ac:dyDescent="0.3">
      <c r="A73" s="599" t="s">
        <v>484</v>
      </c>
      <c r="B73" s="599"/>
      <c r="C73" s="599"/>
      <c r="D73" s="697"/>
      <c r="E73" s="770"/>
      <c r="F73" s="767">
        <v>0.95</v>
      </c>
      <c r="G73" s="771"/>
      <c r="H73" s="769"/>
      <c r="I73" s="753">
        <v>1.3</v>
      </c>
      <c r="J73" s="754"/>
    </row>
    <row r="74" spans="1:10" x14ac:dyDescent="0.25">
      <c r="A74" s="745" t="s">
        <v>475</v>
      </c>
      <c r="B74" s="745"/>
      <c r="C74" s="745"/>
      <c r="D74" s="745"/>
      <c r="E74" s="744">
        <v>1.1000000000000001</v>
      </c>
      <c r="F74" s="744"/>
      <c r="G74" s="744"/>
      <c r="H74" s="744">
        <v>1.4</v>
      </c>
      <c r="I74" s="744"/>
      <c r="J74" s="744"/>
    </row>
    <row r="75" spans="1:10" x14ac:dyDescent="0.25">
      <c r="A75" s="745"/>
      <c r="B75" s="745"/>
      <c r="C75" s="745"/>
      <c r="D75" s="745"/>
      <c r="E75" s="736"/>
      <c r="F75" s="736"/>
      <c r="G75" s="736"/>
      <c r="H75" s="736"/>
      <c r="I75" s="736"/>
      <c r="J75" s="736"/>
    </row>
    <row r="76" spans="1:10" x14ac:dyDescent="0.25">
      <c r="A76" s="745" t="s">
        <v>476</v>
      </c>
      <c r="B76" s="745"/>
      <c r="C76" s="745"/>
      <c r="D76" s="745"/>
      <c r="E76" s="736">
        <v>1.1000000000000001</v>
      </c>
      <c r="F76" s="736"/>
      <c r="G76" s="736"/>
      <c r="H76" s="736">
        <v>1.4</v>
      </c>
      <c r="I76" s="736"/>
      <c r="J76" s="736"/>
    </row>
    <row r="77" spans="1:10" x14ac:dyDescent="0.25">
      <c r="A77" s="745"/>
      <c r="B77" s="745"/>
      <c r="C77" s="745"/>
      <c r="D77" s="745"/>
      <c r="E77" s="736"/>
      <c r="F77" s="736"/>
      <c r="G77" s="736"/>
      <c r="H77" s="736"/>
      <c r="I77" s="736"/>
      <c r="J77" s="736"/>
    </row>
    <row r="78" spans="1:10" ht="15" customHeight="1" x14ac:dyDescent="0.25">
      <c r="A78" s="745" t="s">
        <v>477</v>
      </c>
      <c r="B78" s="745"/>
      <c r="C78" s="745"/>
      <c r="D78" s="745"/>
      <c r="E78" s="736">
        <v>1.4</v>
      </c>
      <c r="F78" s="736"/>
      <c r="G78" s="736"/>
      <c r="H78" s="736">
        <v>1.7</v>
      </c>
      <c r="I78" s="736"/>
      <c r="J78" s="736"/>
    </row>
    <row r="79" spans="1:10" x14ac:dyDescent="0.25">
      <c r="A79" s="745"/>
      <c r="B79" s="745"/>
      <c r="C79" s="745"/>
      <c r="D79" s="745"/>
      <c r="E79" s="736"/>
      <c r="F79" s="736"/>
      <c r="G79" s="736"/>
      <c r="H79" s="736"/>
      <c r="I79" s="736"/>
      <c r="J79" s="736"/>
    </row>
    <row r="80" spans="1:10" x14ac:dyDescent="0.25">
      <c r="A80" s="745"/>
      <c r="B80" s="745"/>
      <c r="C80" s="745"/>
      <c r="D80" s="745"/>
      <c r="E80" s="736"/>
      <c r="F80" s="736"/>
      <c r="G80" s="736"/>
      <c r="H80" s="736"/>
      <c r="I80" s="736"/>
      <c r="J80" s="736"/>
    </row>
    <row r="81" spans="1:10" ht="15" customHeight="1" x14ac:dyDescent="0.25">
      <c r="A81" s="745" t="s">
        <v>478</v>
      </c>
      <c r="B81" s="745"/>
      <c r="C81" s="745"/>
      <c r="D81" s="745"/>
      <c r="E81" s="736">
        <v>1.6</v>
      </c>
      <c r="F81" s="736"/>
      <c r="G81" s="736"/>
      <c r="H81" s="736">
        <v>1.7</v>
      </c>
      <c r="I81" s="736"/>
      <c r="J81" s="736"/>
    </row>
    <row r="82" spans="1:10" x14ac:dyDescent="0.25">
      <c r="A82" s="745"/>
      <c r="B82" s="745"/>
      <c r="C82" s="745"/>
      <c r="D82" s="745"/>
      <c r="E82" s="736"/>
      <c r="F82" s="736"/>
      <c r="G82" s="736"/>
      <c r="H82" s="736"/>
      <c r="I82" s="736"/>
      <c r="J82" s="736"/>
    </row>
    <row r="83" spans="1:10" x14ac:dyDescent="0.25">
      <c r="A83" s="745"/>
      <c r="B83" s="745"/>
      <c r="C83" s="745"/>
      <c r="D83" s="745"/>
      <c r="E83" s="748"/>
      <c r="F83" s="748"/>
      <c r="G83" s="748"/>
      <c r="H83" s="748"/>
      <c r="I83" s="748"/>
      <c r="J83" s="748"/>
    </row>
    <row r="84" spans="1:10" ht="45" customHeight="1" x14ac:dyDescent="0.25">
      <c r="A84" s="781" t="s">
        <v>479</v>
      </c>
      <c r="B84" s="782"/>
      <c r="C84" s="782"/>
      <c r="D84" s="782"/>
      <c r="E84" s="752"/>
      <c r="F84" s="753">
        <v>1.6</v>
      </c>
      <c r="G84" s="785"/>
      <c r="H84" s="752"/>
      <c r="I84" s="753">
        <v>1.9</v>
      </c>
      <c r="J84" s="754"/>
    </row>
    <row r="85" spans="1:10" ht="30" customHeight="1" thickBot="1" x14ac:dyDescent="0.3">
      <c r="A85" s="599" t="s">
        <v>480</v>
      </c>
      <c r="B85" s="599"/>
      <c r="C85" s="599"/>
      <c r="D85" s="697"/>
      <c r="E85" s="24"/>
      <c r="F85" s="783">
        <v>1</v>
      </c>
      <c r="G85" s="784"/>
      <c r="H85" s="786"/>
      <c r="I85" s="772">
        <v>1.1000000000000001</v>
      </c>
      <c r="J85" s="765"/>
    </row>
    <row r="86" spans="1:10" ht="30" customHeight="1" x14ac:dyDescent="0.25">
      <c r="A86" s="749" t="s">
        <v>481</v>
      </c>
      <c r="B86" s="750"/>
      <c r="C86" s="750"/>
      <c r="D86" s="751"/>
      <c r="E86" s="763"/>
      <c r="F86" s="772">
        <v>1.6</v>
      </c>
      <c r="G86" s="765"/>
      <c r="H86" s="755"/>
      <c r="I86" s="753">
        <v>1.9</v>
      </c>
      <c r="J86" s="756"/>
    </row>
    <row r="87" spans="1:10" ht="29.25" customHeight="1" x14ac:dyDescent="0.25">
      <c r="A87" s="749" t="s">
        <v>482</v>
      </c>
      <c r="B87" s="750"/>
      <c r="C87" s="750"/>
      <c r="D87" s="751"/>
      <c r="E87" s="752"/>
      <c r="F87" s="753">
        <v>1.5</v>
      </c>
      <c r="G87" s="754"/>
      <c r="H87" s="755"/>
      <c r="I87" s="753">
        <v>1.9</v>
      </c>
      <c r="J87" s="756"/>
    </row>
    <row r="88" spans="1:10" ht="29.25" customHeight="1" thickBot="1" x14ac:dyDescent="0.3">
      <c r="A88" s="749" t="s">
        <v>483</v>
      </c>
      <c r="B88" s="750"/>
      <c r="C88" s="750"/>
      <c r="D88" s="751"/>
      <c r="E88" s="760"/>
      <c r="F88" s="761">
        <v>1.3</v>
      </c>
      <c r="G88" s="762"/>
      <c r="H88" s="755"/>
      <c r="I88" s="753">
        <v>1.6</v>
      </c>
      <c r="J88" s="756"/>
    </row>
    <row r="89" spans="1:10" s="205" customFormat="1" ht="30" customHeight="1" thickBot="1" x14ac:dyDescent="0.3">
      <c r="A89" s="697" t="s">
        <v>485</v>
      </c>
      <c r="B89" s="698"/>
      <c r="C89" s="698"/>
      <c r="D89" s="698"/>
      <c r="E89" s="766"/>
      <c r="F89" s="767">
        <v>1.3</v>
      </c>
      <c r="G89" s="768"/>
      <c r="H89" s="759"/>
      <c r="I89" s="753">
        <v>1.6</v>
      </c>
      <c r="J89" s="758"/>
    </row>
    <row r="90" spans="1:10" ht="30.75" customHeight="1" x14ac:dyDescent="0.25">
      <c r="A90" s="749" t="s">
        <v>486</v>
      </c>
      <c r="B90" s="750"/>
      <c r="C90" s="750"/>
      <c r="D90" s="751"/>
      <c r="E90" s="763"/>
      <c r="F90" s="764">
        <v>1</v>
      </c>
      <c r="G90" s="765"/>
      <c r="H90" s="755"/>
      <c r="I90" s="753">
        <v>2</v>
      </c>
      <c r="J90" s="756"/>
    </row>
    <row r="91" spans="1:10" ht="15" customHeight="1" x14ac:dyDescent="0.25">
      <c r="A91" s="497" t="s">
        <v>487</v>
      </c>
      <c r="B91" s="498"/>
      <c r="C91" s="498"/>
      <c r="D91" s="498"/>
      <c r="E91" s="498"/>
      <c r="F91" s="498"/>
      <c r="G91" s="498"/>
      <c r="H91" s="498"/>
      <c r="I91" s="498"/>
      <c r="J91" s="730"/>
    </row>
    <row r="92" spans="1:10" ht="15.75" thickBot="1" x14ac:dyDescent="0.3">
      <c r="A92" s="731"/>
      <c r="B92" s="449"/>
      <c r="C92" s="449"/>
      <c r="D92" s="449"/>
      <c r="E92" s="650"/>
      <c r="F92" s="650"/>
      <c r="G92" s="650"/>
      <c r="H92" s="449"/>
      <c r="I92" s="449"/>
      <c r="J92" s="732"/>
    </row>
    <row r="93" spans="1:10" ht="30" customHeight="1" thickBot="1" x14ac:dyDescent="0.3">
      <c r="A93" s="510" t="s">
        <v>488</v>
      </c>
      <c r="B93" s="510"/>
      <c r="C93" s="510"/>
      <c r="D93" s="510"/>
      <c r="E93" s="770"/>
      <c r="F93" s="767">
        <v>0.14000000000000001</v>
      </c>
      <c r="G93" s="779"/>
      <c r="H93" s="769"/>
      <c r="I93" s="753">
        <v>0.25</v>
      </c>
      <c r="J93" s="756"/>
    </row>
    <row r="94" spans="1:10" ht="30" customHeight="1" thickBot="1" x14ac:dyDescent="0.3">
      <c r="A94" s="749" t="s">
        <v>489</v>
      </c>
      <c r="B94" s="750"/>
      <c r="C94" s="750"/>
      <c r="D94" s="751"/>
      <c r="E94" s="796"/>
      <c r="F94" s="757">
        <v>0.2</v>
      </c>
      <c r="G94" s="797"/>
      <c r="H94" s="752"/>
      <c r="I94" s="753">
        <v>0.25</v>
      </c>
      <c r="J94" s="756"/>
    </row>
    <row r="95" spans="1:10" ht="43.5" customHeight="1" thickBot="1" x14ac:dyDescent="0.3">
      <c r="A95" s="787" t="s">
        <v>490</v>
      </c>
      <c r="B95" s="788"/>
      <c r="C95" s="788"/>
      <c r="D95" s="788"/>
      <c r="E95" s="770"/>
      <c r="F95" s="767">
        <v>0.14000000000000001</v>
      </c>
      <c r="G95" s="779"/>
      <c r="H95" s="769"/>
      <c r="I95" s="753">
        <v>0.25</v>
      </c>
      <c r="J95" s="756"/>
    </row>
    <row r="96" spans="1:10" ht="30" customHeight="1" x14ac:dyDescent="0.25">
      <c r="A96" s="749" t="s">
        <v>491</v>
      </c>
      <c r="B96" s="750"/>
      <c r="C96" s="750"/>
      <c r="D96" s="751"/>
      <c r="E96" s="763"/>
      <c r="F96" s="772">
        <v>0.14000000000000001</v>
      </c>
      <c r="G96" s="780"/>
      <c r="H96" s="752"/>
      <c r="I96" s="753">
        <v>0.2</v>
      </c>
      <c r="J96" s="756"/>
    </row>
    <row r="97" spans="1:10" ht="73.5" customHeight="1" x14ac:dyDescent="0.25">
      <c r="A97" s="745" t="s">
        <v>492</v>
      </c>
      <c r="B97" s="745"/>
      <c r="C97" s="745"/>
      <c r="D97" s="745"/>
      <c r="E97" s="736" t="s">
        <v>470</v>
      </c>
      <c r="F97" s="736"/>
      <c r="G97" s="736"/>
      <c r="H97" s="736" t="s">
        <v>470</v>
      </c>
      <c r="I97" s="736"/>
      <c r="J97" s="736"/>
    </row>
    <row r="98" spans="1:10" ht="30" customHeight="1" thickBot="1" x14ac:dyDescent="0.3">
      <c r="A98" s="790" t="s">
        <v>493</v>
      </c>
      <c r="B98" s="790"/>
      <c r="C98" s="790"/>
      <c r="D98" s="790"/>
      <c r="E98" s="760"/>
      <c r="F98" s="761">
        <v>0.25</v>
      </c>
      <c r="G98" s="794"/>
      <c r="H98" s="792"/>
      <c r="I98" s="753">
        <v>0.25</v>
      </c>
      <c r="J98" s="791"/>
    </row>
    <row r="99" spans="1:10" ht="30.75" customHeight="1" thickBot="1" x14ac:dyDescent="0.3">
      <c r="A99" s="599" t="s">
        <v>494</v>
      </c>
      <c r="B99" s="599"/>
      <c r="C99" s="599"/>
      <c r="D99" s="697"/>
      <c r="E99" s="770"/>
      <c r="F99" s="767">
        <v>0.25</v>
      </c>
      <c r="G99" s="795"/>
      <c r="H99" s="753"/>
      <c r="I99" s="753">
        <v>0.25</v>
      </c>
      <c r="J99" s="791"/>
    </row>
    <row r="100" spans="1:10" ht="30.75" customHeight="1" thickBot="1" x14ac:dyDescent="0.3">
      <c r="A100" s="790" t="s">
        <v>495</v>
      </c>
      <c r="B100" s="790"/>
      <c r="C100" s="790"/>
      <c r="D100" s="790"/>
      <c r="E100" s="796"/>
      <c r="F100" s="798">
        <v>0.2</v>
      </c>
      <c r="G100" s="799"/>
      <c r="H100" s="792"/>
      <c r="I100" s="753">
        <v>0.25</v>
      </c>
      <c r="J100" s="791"/>
    </row>
    <row r="101" spans="1:10" ht="30" customHeight="1" thickBot="1" x14ac:dyDescent="0.3">
      <c r="A101" s="599" t="s">
        <v>496</v>
      </c>
      <c r="B101" s="599"/>
      <c r="C101" s="599"/>
      <c r="D101" s="697"/>
      <c r="E101" s="800"/>
      <c r="F101" s="767">
        <v>0.25</v>
      </c>
      <c r="G101" s="795"/>
      <c r="H101" s="753"/>
      <c r="I101" s="753">
        <v>0.25</v>
      </c>
      <c r="J101" s="791"/>
    </row>
    <row r="102" spans="1:10" ht="31.5" customHeight="1" x14ac:dyDescent="0.25">
      <c r="A102" s="745" t="s">
        <v>497</v>
      </c>
      <c r="B102" s="745"/>
      <c r="C102" s="745"/>
      <c r="D102" s="745"/>
      <c r="E102" s="763"/>
      <c r="F102" s="772">
        <v>0.35</v>
      </c>
      <c r="G102" s="780"/>
      <c r="H102" s="792"/>
      <c r="I102" s="753">
        <v>0.35</v>
      </c>
      <c r="J102" s="791"/>
    </row>
  </sheetData>
  <mergeCells count="78">
    <mergeCell ref="A100:D100"/>
    <mergeCell ref="A101:D101"/>
    <mergeCell ref="A102:D102"/>
    <mergeCell ref="A97:D97"/>
    <mergeCell ref="E97:G97"/>
    <mergeCell ref="H97:J97"/>
    <mergeCell ref="A98:D98"/>
    <mergeCell ref="A99:D99"/>
    <mergeCell ref="A91:J92"/>
    <mergeCell ref="A93:D93"/>
    <mergeCell ref="A94:D94"/>
    <mergeCell ref="A84:D84"/>
    <mergeCell ref="A95:D95"/>
    <mergeCell ref="A96:D96"/>
    <mergeCell ref="A86:D86"/>
    <mergeCell ref="A87:D87"/>
    <mergeCell ref="A88:D88"/>
    <mergeCell ref="A89:D89"/>
    <mergeCell ref="A90:D90"/>
    <mergeCell ref="A85:D85"/>
    <mergeCell ref="A81:D83"/>
    <mergeCell ref="E81:G83"/>
    <mergeCell ref="H81:J83"/>
    <mergeCell ref="A76:D77"/>
    <mergeCell ref="A78:D80"/>
    <mergeCell ref="E78:G80"/>
    <mergeCell ref="H78:J80"/>
    <mergeCell ref="A74:D75"/>
    <mergeCell ref="E74:G75"/>
    <mergeCell ref="H74:J75"/>
    <mergeCell ref="E76:G77"/>
    <mergeCell ref="H76:J77"/>
    <mergeCell ref="A71:J72"/>
    <mergeCell ref="A62:J63"/>
    <mergeCell ref="A73:D73"/>
    <mergeCell ref="A67:D68"/>
    <mergeCell ref="E67:G68"/>
    <mergeCell ref="H67:J68"/>
    <mergeCell ref="A69:D70"/>
    <mergeCell ref="E69:G70"/>
    <mergeCell ref="H69:J70"/>
    <mergeCell ref="H64:J64"/>
    <mergeCell ref="A65:D66"/>
    <mergeCell ref="E65:G66"/>
    <mergeCell ref="H65:J66"/>
    <mergeCell ref="A52:L52"/>
    <mergeCell ref="E56:J58"/>
    <mergeCell ref="E59:G61"/>
    <mergeCell ref="H59:J61"/>
    <mergeCell ref="A56:D61"/>
    <mergeCell ref="A1:L1"/>
    <mergeCell ref="A2:K2"/>
    <mergeCell ref="C47:D47"/>
    <mergeCell ref="E47:F47"/>
    <mergeCell ref="G47:H47"/>
    <mergeCell ref="A47:B47"/>
    <mergeCell ref="I32:I34"/>
    <mergeCell ref="H32:H34"/>
    <mergeCell ref="G32:G34"/>
    <mergeCell ref="A35:A42"/>
    <mergeCell ref="B31:E34"/>
    <mergeCell ref="A31:A34"/>
    <mergeCell ref="G31:K31"/>
    <mergeCell ref="F31:F34"/>
    <mergeCell ref="A21:A22"/>
    <mergeCell ref="A24:A26"/>
    <mergeCell ref="J32:J34"/>
    <mergeCell ref="K32:K34"/>
    <mergeCell ref="A3:A5"/>
    <mergeCell ref="B3:B5"/>
    <mergeCell ref="C28:K28"/>
    <mergeCell ref="C29:K29"/>
    <mergeCell ref="A28:A29"/>
    <mergeCell ref="C3:K3"/>
    <mergeCell ref="C5:K5"/>
    <mergeCell ref="A6:A7"/>
    <mergeCell ref="A9:A10"/>
    <mergeCell ref="A12:A19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B814-EC3E-4516-8BA6-FFD57D3222DF}">
  <dimension ref="A1:I52"/>
  <sheetViews>
    <sheetView topLeftCell="A20" zoomScale="85" zoomScaleNormal="85" workbookViewId="0">
      <selection activeCell="J34" sqref="J34"/>
    </sheetView>
  </sheetViews>
  <sheetFormatPr baseColWidth="10" defaultRowHeight="15" x14ac:dyDescent="0.25"/>
  <cols>
    <col min="1" max="1" width="29.28515625" customWidth="1"/>
    <col min="2" max="2" width="29" customWidth="1"/>
    <col min="3" max="3" width="22.5703125" customWidth="1"/>
    <col min="4" max="4" width="28.42578125" customWidth="1"/>
    <col min="6" max="6" width="28.7109375" customWidth="1"/>
    <col min="7" max="7" width="28.5703125" customWidth="1"/>
    <col min="8" max="8" width="23.42578125" customWidth="1"/>
    <col min="9" max="9" width="22.85546875" customWidth="1"/>
  </cols>
  <sheetData>
    <row r="1" spans="1:9" ht="15.75" thickBot="1" x14ac:dyDescent="0.3"/>
    <row r="2" spans="1:9" ht="15.75" x14ac:dyDescent="0.25">
      <c r="A2" s="118" t="s">
        <v>178</v>
      </c>
      <c r="B2" s="580" t="s">
        <v>46</v>
      </c>
      <c r="C2" s="580"/>
      <c r="D2" s="634"/>
    </row>
    <row r="3" spans="1:9" x14ac:dyDescent="0.25">
      <c r="A3" s="21"/>
      <c r="B3" s="18"/>
      <c r="C3" s="18" t="s">
        <v>180</v>
      </c>
      <c r="D3" s="119" t="s">
        <v>184</v>
      </c>
    </row>
    <row r="4" spans="1:9" ht="31.5" customHeight="1" x14ac:dyDescent="0.25">
      <c r="A4" s="21"/>
      <c r="B4" s="595" t="s">
        <v>179</v>
      </c>
      <c r="C4" s="116" t="s">
        <v>181</v>
      </c>
      <c r="D4" s="120">
        <v>1.6</v>
      </c>
    </row>
    <row r="5" spans="1:9" ht="15" customHeight="1" x14ac:dyDescent="0.25">
      <c r="A5" s="21"/>
      <c r="B5" s="595"/>
      <c r="C5" s="116" t="s">
        <v>182</v>
      </c>
      <c r="D5" s="120">
        <v>1.5</v>
      </c>
    </row>
    <row r="6" spans="1:9" ht="15" customHeight="1" x14ac:dyDescent="0.25">
      <c r="A6" s="21"/>
      <c r="B6" s="595"/>
      <c r="C6" s="116" t="s">
        <v>183</v>
      </c>
      <c r="D6" s="120">
        <v>1.4</v>
      </c>
    </row>
    <row r="7" spans="1:9" ht="15" customHeight="1" x14ac:dyDescent="0.25">
      <c r="A7" s="21"/>
      <c r="B7" s="595" t="s">
        <v>185</v>
      </c>
      <c r="C7" s="116" t="s">
        <v>181</v>
      </c>
      <c r="D7" s="120">
        <v>1.4</v>
      </c>
    </row>
    <row r="8" spans="1:9" ht="15" customHeight="1" x14ac:dyDescent="0.25">
      <c r="A8" s="21"/>
      <c r="B8" s="593"/>
      <c r="C8" s="116" t="s">
        <v>186</v>
      </c>
      <c r="D8" s="120">
        <v>1.3</v>
      </c>
    </row>
    <row r="9" spans="1:9" x14ac:dyDescent="0.25">
      <c r="A9" s="21"/>
      <c r="B9" s="116" t="s">
        <v>187</v>
      </c>
      <c r="C9" s="117" t="s">
        <v>188</v>
      </c>
      <c r="D9" s="120">
        <v>1.2</v>
      </c>
    </row>
    <row r="10" spans="1:9" x14ac:dyDescent="0.25">
      <c r="A10" s="21"/>
      <c r="B10" s="595" t="s">
        <v>189</v>
      </c>
      <c r="C10" s="116" t="s">
        <v>190</v>
      </c>
      <c r="D10" s="120">
        <v>0.4</v>
      </c>
    </row>
    <row r="11" spans="1:9" x14ac:dyDescent="0.25">
      <c r="A11" s="21"/>
      <c r="B11" s="593"/>
      <c r="C11" s="116" t="s">
        <v>183</v>
      </c>
      <c r="D11" s="120">
        <v>0.3</v>
      </c>
    </row>
    <row r="12" spans="1:9" x14ac:dyDescent="0.25">
      <c r="A12" s="21"/>
      <c r="B12" s="593" t="s">
        <v>191</v>
      </c>
      <c r="C12" s="116" t="s">
        <v>190</v>
      </c>
      <c r="D12" s="120">
        <v>0.5</v>
      </c>
    </row>
    <row r="13" spans="1:9" ht="15.75" thickBot="1" x14ac:dyDescent="0.3">
      <c r="A13" s="24"/>
      <c r="B13" s="633"/>
      <c r="C13" s="121" t="s">
        <v>183</v>
      </c>
      <c r="D13" s="122">
        <v>0.4</v>
      </c>
    </row>
    <row r="15" spans="1:9" ht="15.75" thickBot="1" x14ac:dyDescent="0.3"/>
    <row r="16" spans="1:9" ht="15.75" x14ac:dyDescent="0.25">
      <c r="A16" s="626" t="s">
        <v>193</v>
      </c>
      <c r="B16" s="627"/>
      <c r="C16" s="627"/>
      <c r="D16" s="628"/>
      <c r="F16" s="571" t="s">
        <v>217</v>
      </c>
      <c r="G16" s="488"/>
      <c r="H16" s="488"/>
      <c r="I16" s="625"/>
    </row>
    <row r="17" spans="1:9" ht="18" x14ac:dyDescent="0.35">
      <c r="A17" s="629" t="s">
        <v>192</v>
      </c>
      <c r="B17" s="630"/>
      <c r="C17" s="630"/>
      <c r="D17" s="123" t="s">
        <v>194</v>
      </c>
      <c r="F17" s="629" t="s">
        <v>192</v>
      </c>
      <c r="G17" s="630"/>
      <c r="H17" s="630"/>
      <c r="I17" s="123" t="s">
        <v>194</v>
      </c>
    </row>
    <row r="18" spans="1:9" x14ac:dyDescent="0.25">
      <c r="A18" s="623" t="s">
        <v>201</v>
      </c>
      <c r="B18" s="596" t="s">
        <v>195</v>
      </c>
      <c r="C18" s="596"/>
      <c r="D18" s="123">
        <v>1.149</v>
      </c>
      <c r="F18" s="623" t="s">
        <v>201</v>
      </c>
      <c r="G18" s="596" t="s">
        <v>195</v>
      </c>
      <c r="H18" s="596"/>
      <c r="I18" s="123">
        <v>1.149</v>
      </c>
    </row>
    <row r="19" spans="1:9" x14ac:dyDescent="0.25">
      <c r="A19" s="623"/>
      <c r="B19" s="596" t="s">
        <v>196</v>
      </c>
      <c r="C19" s="596"/>
      <c r="D19" s="123">
        <v>1.107</v>
      </c>
      <c r="F19" s="623"/>
      <c r="G19" s="596" t="s">
        <v>196</v>
      </c>
      <c r="H19" s="596"/>
      <c r="I19" s="123">
        <v>1.107</v>
      </c>
    </row>
    <row r="20" spans="1:9" x14ac:dyDescent="0.25">
      <c r="A20" s="623"/>
      <c r="B20" s="581" t="s">
        <v>197</v>
      </c>
      <c r="C20" s="583"/>
      <c r="D20" s="123">
        <v>1.095</v>
      </c>
      <c r="F20" s="623"/>
      <c r="G20" s="581" t="s">
        <v>197</v>
      </c>
      <c r="H20" s="583"/>
      <c r="I20" s="123">
        <v>1.095</v>
      </c>
    </row>
    <row r="21" spans="1:9" x14ac:dyDescent="0.25">
      <c r="A21" s="623"/>
      <c r="B21" s="581" t="s">
        <v>198</v>
      </c>
      <c r="C21" s="583"/>
      <c r="D21" s="123">
        <v>1.083</v>
      </c>
      <c r="F21" s="623"/>
      <c r="G21" s="581" t="s">
        <v>198</v>
      </c>
      <c r="H21" s="583"/>
      <c r="I21" s="123">
        <v>1.083</v>
      </c>
    </row>
    <row r="22" spans="1:9" ht="17.25" x14ac:dyDescent="0.3">
      <c r="A22" s="623"/>
      <c r="B22" s="581" t="s">
        <v>221</v>
      </c>
      <c r="C22" s="583"/>
      <c r="D22" s="123">
        <v>1.042</v>
      </c>
      <c r="F22" s="623"/>
      <c r="G22" s="581" t="s">
        <v>218</v>
      </c>
      <c r="H22" s="583"/>
      <c r="I22" s="123">
        <v>1.042</v>
      </c>
    </row>
    <row r="23" spans="1:9" ht="16.5" x14ac:dyDescent="0.25">
      <c r="A23" s="623"/>
      <c r="B23" s="581" t="s">
        <v>199</v>
      </c>
      <c r="C23" s="583"/>
      <c r="D23" s="123">
        <v>1.042</v>
      </c>
      <c r="F23" s="623"/>
      <c r="G23" s="581" t="s">
        <v>199</v>
      </c>
      <c r="H23" s="583"/>
      <c r="I23" s="123">
        <v>1.042</v>
      </c>
    </row>
    <row r="24" spans="1:9" x14ac:dyDescent="0.25">
      <c r="A24" s="623"/>
      <c r="B24" s="620" t="s">
        <v>200</v>
      </c>
      <c r="C24" s="620"/>
      <c r="D24" s="624">
        <v>1.03</v>
      </c>
      <c r="F24" s="623"/>
      <c r="G24" s="620" t="s">
        <v>200</v>
      </c>
      <c r="H24" s="620"/>
      <c r="I24" s="624">
        <v>1.03</v>
      </c>
    </row>
    <row r="25" spans="1:9" x14ac:dyDescent="0.25">
      <c r="A25" s="623"/>
      <c r="B25" s="620"/>
      <c r="C25" s="620"/>
      <c r="D25" s="624"/>
      <c r="F25" s="623"/>
      <c r="G25" s="620"/>
      <c r="H25" s="620"/>
      <c r="I25" s="624"/>
    </row>
    <row r="26" spans="1:9" ht="18.75" thickBot="1" x14ac:dyDescent="0.3">
      <c r="A26" s="561" t="s">
        <v>202</v>
      </c>
      <c r="B26" s="517"/>
      <c r="C26" s="517"/>
      <c r="D26" s="632"/>
      <c r="F26" s="621" t="s">
        <v>202</v>
      </c>
      <c r="G26" s="556"/>
      <c r="H26" s="556"/>
      <c r="I26" s="622"/>
    </row>
    <row r="27" spans="1:9" ht="18" x14ac:dyDescent="0.35">
      <c r="A27" s="608"/>
      <c r="B27" s="551"/>
      <c r="C27" s="551"/>
      <c r="D27" s="127" t="s">
        <v>203</v>
      </c>
      <c r="F27" s="608"/>
      <c r="G27" s="551"/>
      <c r="H27" s="551"/>
      <c r="I27" s="127" t="s">
        <v>203</v>
      </c>
    </row>
    <row r="28" spans="1:9" x14ac:dyDescent="0.25">
      <c r="A28" s="601" t="s">
        <v>211</v>
      </c>
      <c r="B28" s="596" t="s">
        <v>204</v>
      </c>
      <c r="C28" s="596"/>
      <c r="D28" s="124"/>
      <c r="F28" s="615" t="s">
        <v>227</v>
      </c>
      <c r="G28" s="596" t="s">
        <v>219</v>
      </c>
      <c r="H28" s="596"/>
      <c r="I28" s="124"/>
    </row>
    <row r="29" spans="1:9" x14ac:dyDescent="0.25">
      <c r="A29" s="601"/>
      <c r="B29" s="603" t="s">
        <v>205</v>
      </c>
      <c r="C29" s="596"/>
      <c r="D29" s="125">
        <v>2.1000000000000001E-2</v>
      </c>
      <c r="F29" s="607"/>
      <c r="G29" s="596" t="s">
        <v>220</v>
      </c>
      <c r="H29" s="596"/>
      <c r="I29" s="125">
        <v>3.5999999999999997E-2</v>
      </c>
    </row>
    <row r="30" spans="1:9" x14ac:dyDescent="0.25">
      <c r="A30" s="601"/>
      <c r="B30" s="603" t="s">
        <v>206</v>
      </c>
      <c r="C30" s="596"/>
      <c r="D30" s="123">
        <v>1.2E-2</v>
      </c>
      <c r="F30" s="607"/>
      <c r="G30" s="596" t="s">
        <v>222</v>
      </c>
      <c r="H30" s="596"/>
      <c r="I30" s="123">
        <v>2.1000000000000001E-2</v>
      </c>
    </row>
    <row r="31" spans="1:9" x14ac:dyDescent="0.25">
      <c r="A31" s="601"/>
      <c r="B31" s="603" t="s">
        <v>207</v>
      </c>
      <c r="C31" s="596"/>
      <c r="D31" s="123">
        <v>6.0000000000000001E-3</v>
      </c>
      <c r="F31" s="607"/>
      <c r="G31" s="596" t="s">
        <v>223</v>
      </c>
      <c r="H31" s="596"/>
      <c r="I31" s="123">
        <v>1.4999999999999999E-2</v>
      </c>
    </row>
    <row r="32" spans="1:9" x14ac:dyDescent="0.25">
      <c r="A32" s="601"/>
      <c r="B32" s="596" t="s">
        <v>208</v>
      </c>
      <c r="C32" s="596"/>
      <c r="D32" s="123">
        <v>4.4999999999999998E-2</v>
      </c>
      <c r="F32" s="607"/>
      <c r="G32" s="596" t="s">
        <v>224</v>
      </c>
      <c r="H32" s="596"/>
      <c r="I32" s="123">
        <v>1.2E-2</v>
      </c>
    </row>
    <row r="33" spans="1:9" x14ac:dyDescent="0.25">
      <c r="A33" s="601"/>
      <c r="B33" s="596" t="s">
        <v>209</v>
      </c>
      <c r="C33" s="596"/>
      <c r="D33" s="123">
        <v>6.3E-2</v>
      </c>
      <c r="F33" s="607"/>
      <c r="G33" s="596" t="s">
        <v>225</v>
      </c>
      <c r="H33" s="596"/>
      <c r="I33" s="123"/>
    </row>
    <row r="34" spans="1:9" ht="15.75" thickBot="1" x14ac:dyDescent="0.3">
      <c r="A34" s="615"/>
      <c r="B34" s="605" t="s">
        <v>210</v>
      </c>
      <c r="C34" s="605"/>
      <c r="D34" s="128">
        <v>0</v>
      </c>
      <c r="F34" s="607"/>
      <c r="G34" s="596" t="s">
        <v>220</v>
      </c>
      <c r="H34" s="596"/>
      <c r="I34" s="128">
        <v>4.8000000000000001E-2</v>
      </c>
    </row>
    <row r="35" spans="1:9" ht="18" x14ac:dyDescent="0.35">
      <c r="A35" s="608"/>
      <c r="B35" s="551"/>
      <c r="C35" s="551"/>
      <c r="D35" s="129" t="s">
        <v>212</v>
      </c>
      <c r="F35" s="607"/>
      <c r="G35" s="596" t="s">
        <v>222</v>
      </c>
      <c r="H35" s="596"/>
      <c r="I35" s="128">
        <v>3.5999999999999997E-2</v>
      </c>
    </row>
    <row r="36" spans="1:9" ht="17.25" customHeight="1" x14ac:dyDescent="0.25">
      <c r="A36" s="613" t="s">
        <v>216</v>
      </c>
      <c r="B36" s="619" t="s">
        <v>213</v>
      </c>
      <c r="C36" s="619"/>
      <c r="D36" s="611">
        <v>4.2000000000000003E-2</v>
      </c>
      <c r="F36" s="607"/>
      <c r="G36" s="596" t="s">
        <v>210</v>
      </c>
      <c r="H36" s="596"/>
      <c r="I36" s="130">
        <v>6.0000000000000001E-3</v>
      </c>
    </row>
    <row r="37" spans="1:9" ht="18" customHeight="1" thickBot="1" x14ac:dyDescent="0.3">
      <c r="A37" s="613"/>
      <c r="B37" s="619"/>
      <c r="C37" s="619"/>
      <c r="D37" s="611"/>
      <c r="F37" s="616"/>
      <c r="G37" s="609" t="s">
        <v>226</v>
      </c>
      <c r="H37" s="609"/>
      <c r="I37" s="126">
        <v>0</v>
      </c>
    </row>
    <row r="38" spans="1:9" ht="18" customHeight="1" x14ac:dyDescent="0.35">
      <c r="A38" s="613"/>
      <c r="B38" s="619" t="s">
        <v>214</v>
      </c>
      <c r="C38" s="619"/>
      <c r="D38" s="611">
        <v>1.4999999999999999E-2</v>
      </c>
      <c r="F38" s="617"/>
      <c r="G38" s="539"/>
      <c r="H38" s="618"/>
      <c r="I38" s="127" t="s">
        <v>228</v>
      </c>
    </row>
    <row r="39" spans="1:9" ht="18" customHeight="1" x14ac:dyDescent="0.25">
      <c r="A39" s="613"/>
      <c r="B39" s="619"/>
      <c r="C39" s="619"/>
      <c r="D39" s="611"/>
      <c r="F39" s="606" t="s">
        <v>234</v>
      </c>
      <c r="G39" s="596" t="s">
        <v>229</v>
      </c>
      <c r="H39" s="596"/>
      <c r="I39" s="128">
        <v>3.9E-2</v>
      </c>
    </row>
    <row r="40" spans="1:9" ht="17.25" customHeight="1" x14ac:dyDescent="0.25">
      <c r="A40" s="613"/>
      <c r="B40" s="620" t="s">
        <v>215</v>
      </c>
      <c r="C40" s="620"/>
      <c r="D40" s="611">
        <v>3.0000000000000001E-3</v>
      </c>
      <c r="F40" s="607"/>
      <c r="G40" s="596" t="s">
        <v>230</v>
      </c>
      <c r="H40" s="596"/>
      <c r="I40" s="128"/>
    </row>
    <row r="41" spans="1:9" ht="15.75" thickBot="1" x14ac:dyDescent="0.3">
      <c r="A41" s="614"/>
      <c r="B41" s="631"/>
      <c r="C41" s="631"/>
      <c r="D41" s="612"/>
      <c r="F41" s="607"/>
      <c r="G41" s="603" t="s">
        <v>231</v>
      </c>
      <c r="H41" s="596"/>
      <c r="I41" s="128">
        <v>5.0999999999999997E-2</v>
      </c>
    </row>
    <row r="42" spans="1:9" x14ac:dyDescent="0.25">
      <c r="F42" s="607"/>
      <c r="G42" s="603" t="s">
        <v>232</v>
      </c>
      <c r="H42" s="596"/>
      <c r="I42" s="128">
        <v>3.5999999999999997E-2</v>
      </c>
    </row>
    <row r="43" spans="1:9" ht="15.75" thickBot="1" x14ac:dyDescent="0.3">
      <c r="F43" s="607"/>
      <c r="G43" s="604" t="s">
        <v>233</v>
      </c>
      <c r="H43" s="605"/>
      <c r="I43" s="128">
        <v>8.9999999999999993E-3</v>
      </c>
    </row>
    <row r="44" spans="1:9" ht="18" x14ac:dyDescent="0.35">
      <c r="F44" s="608"/>
      <c r="G44" s="551"/>
      <c r="H44" s="551"/>
      <c r="I44" s="127" t="s">
        <v>235</v>
      </c>
    </row>
    <row r="45" spans="1:9" x14ac:dyDescent="0.25">
      <c r="F45" s="601" t="s">
        <v>238</v>
      </c>
      <c r="G45" s="596" t="s">
        <v>239</v>
      </c>
      <c r="H45" s="596"/>
      <c r="I45" s="128">
        <v>0</v>
      </c>
    </row>
    <row r="46" spans="1:9" ht="15.75" thickBot="1" x14ac:dyDescent="0.3">
      <c r="F46" s="602"/>
      <c r="G46" s="609" t="s">
        <v>240</v>
      </c>
      <c r="H46" s="609"/>
      <c r="I46" s="132">
        <v>-1.7999999999999999E-2</v>
      </c>
    </row>
    <row r="47" spans="1:9" ht="18" x14ac:dyDescent="0.35">
      <c r="F47" s="608"/>
      <c r="G47" s="551"/>
      <c r="H47" s="551"/>
      <c r="I47" s="127" t="s">
        <v>236</v>
      </c>
    </row>
    <row r="48" spans="1:9" ht="15.75" thickBot="1" x14ac:dyDescent="0.3">
      <c r="F48" s="133" t="s">
        <v>241</v>
      </c>
      <c r="G48" s="610"/>
      <c r="H48" s="610"/>
      <c r="I48" s="126">
        <v>0</v>
      </c>
    </row>
    <row r="49" spans="6:9" ht="18" x14ac:dyDescent="0.35">
      <c r="F49" s="608"/>
      <c r="G49" s="551"/>
      <c r="H49" s="551"/>
      <c r="I49" s="127" t="s">
        <v>237</v>
      </c>
    </row>
    <row r="50" spans="6:9" x14ac:dyDescent="0.25">
      <c r="F50" s="601" t="s">
        <v>245</v>
      </c>
      <c r="G50" s="599" t="s">
        <v>242</v>
      </c>
      <c r="H50" s="599"/>
      <c r="I50" s="131">
        <v>-0.03</v>
      </c>
    </row>
    <row r="51" spans="6:9" x14ac:dyDescent="0.25">
      <c r="F51" s="601"/>
      <c r="G51" s="599" t="s">
        <v>243</v>
      </c>
      <c r="H51" s="599"/>
      <c r="I51" s="135">
        <v>-0.06</v>
      </c>
    </row>
    <row r="52" spans="6:9" ht="15.75" thickBot="1" x14ac:dyDescent="0.3">
      <c r="F52" s="602"/>
      <c r="G52" s="600" t="s">
        <v>244</v>
      </c>
      <c r="H52" s="600"/>
      <c r="I52" s="134">
        <v>-7.1999999999999995E-2</v>
      </c>
    </row>
  </sheetData>
  <mergeCells count="76">
    <mergeCell ref="B4:B6"/>
    <mergeCell ref="B7:B8"/>
    <mergeCell ref="B10:B11"/>
    <mergeCell ref="B12:B13"/>
    <mergeCell ref="B2:D2"/>
    <mergeCell ref="A27:C27"/>
    <mergeCell ref="A17:C17"/>
    <mergeCell ref="B18:C18"/>
    <mergeCell ref="B19:C19"/>
    <mergeCell ref="B24:C25"/>
    <mergeCell ref="A18:A25"/>
    <mergeCell ref="A26:D26"/>
    <mergeCell ref="B21:C21"/>
    <mergeCell ref="B20:C20"/>
    <mergeCell ref="B22:C22"/>
    <mergeCell ref="B23:C23"/>
    <mergeCell ref="D24:D25"/>
    <mergeCell ref="B34:C34"/>
    <mergeCell ref="A28:A34"/>
    <mergeCell ref="A35:C35"/>
    <mergeCell ref="B38:C39"/>
    <mergeCell ref="B40:C41"/>
    <mergeCell ref="B28:C28"/>
    <mergeCell ref="B29:C29"/>
    <mergeCell ref="B30:C30"/>
    <mergeCell ref="B31:C31"/>
    <mergeCell ref="B32:C32"/>
    <mergeCell ref="B33:C33"/>
    <mergeCell ref="F16:I16"/>
    <mergeCell ref="A16:D16"/>
    <mergeCell ref="F17:H17"/>
    <mergeCell ref="G18:H18"/>
    <mergeCell ref="G19:H19"/>
    <mergeCell ref="G21:H21"/>
    <mergeCell ref="G22:H22"/>
    <mergeCell ref="G23:H23"/>
    <mergeCell ref="G24:H25"/>
    <mergeCell ref="F26:I26"/>
    <mergeCell ref="F18:F25"/>
    <mergeCell ref="I24:I25"/>
    <mergeCell ref="G20:H20"/>
    <mergeCell ref="F27:H27"/>
    <mergeCell ref="G28:H28"/>
    <mergeCell ref="G29:H29"/>
    <mergeCell ref="G30:H30"/>
    <mergeCell ref="G31:H31"/>
    <mergeCell ref="D38:D39"/>
    <mergeCell ref="D40:D41"/>
    <mergeCell ref="A36:A41"/>
    <mergeCell ref="G37:H37"/>
    <mergeCell ref="F28:F37"/>
    <mergeCell ref="F38:H38"/>
    <mergeCell ref="G39:H39"/>
    <mergeCell ref="G40:H40"/>
    <mergeCell ref="G41:H41"/>
    <mergeCell ref="G33:H33"/>
    <mergeCell ref="G34:H34"/>
    <mergeCell ref="G35:H35"/>
    <mergeCell ref="G36:H36"/>
    <mergeCell ref="B36:C37"/>
    <mergeCell ref="D36:D37"/>
    <mergeCell ref="G32:H32"/>
    <mergeCell ref="G50:H50"/>
    <mergeCell ref="G51:H51"/>
    <mergeCell ref="G52:H52"/>
    <mergeCell ref="F50:F52"/>
    <mergeCell ref="G42:H42"/>
    <mergeCell ref="G43:H43"/>
    <mergeCell ref="F39:F43"/>
    <mergeCell ref="F44:H44"/>
    <mergeCell ref="F47:H47"/>
    <mergeCell ref="F49:H49"/>
    <mergeCell ref="F45:F46"/>
    <mergeCell ref="G45:H45"/>
    <mergeCell ref="G46:H46"/>
    <mergeCell ref="G48:H48"/>
  </mergeCells>
  <phoneticPr fontId="1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B1D1-96EB-4675-9C50-8A95425CF9B3}">
  <dimension ref="A3:T54"/>
  <sheetViews>
    <sheetView workbookViewId="0">
      <selection activeCell="A23" sqref="A23:C24"/>
    </sheetView>
  </sheetViews>
  <sheetFormatPr baseColWidth="10" defaultRowHeight="15" x14ac:dyDescent="0.25"/>
  <sheetData>
    <row r="3" spans="1:20" x14ac:dyDescent="0.25">
      <c r="A3" s="545" t="s">
        <v>43</v>
      </c>
      <c r="B3" s="480"/>
      <c r="C3" s="480"/>
      <c r="D3" s="480" t="s">
        <v>11</v>
      </c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</row>
    <row r="4" spans="1:20" x14ac:dyDescent="0.25">
      <c r="A4" s="480"/>
      <c r="B4" s="480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</row>
    <row r="5" spans="1:20" x14ac:dyDescent="0.25">
      <c r="A5" s="480" t="s">
        <v>45</v>
      </c>
      <c r="B5" s="480"/>
      <c r="C5" s="480"/>
      <c r="D5" s="545" t="s">
        <v>5</v>
      </c>
      <c r="E5" s="480"/>
      <c r="F5" s="480"/>
      <c r="G5" s="480"/>
      <c r="H5" s="480"/>
      <c r="I5" s="480"/>
      <c r="J5" s="480"/>
      <c r="K5" s="480"/>
      <c r="L5" s="480"/>
      <c r="M5" s="480"/>
      <c r="N5" s="480"/>
      <c r="O5" s="480"/>
      <c r="P5" s="480"/>
      <c r="Q5" s="480"/>
    </row>
    <row r="6" spans="1:20" x14ac:dyDescent="0.25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</row>
    <row r="7" spans="1:20" x14ac:dyDescent="0.25">
      <c r="A7" s="480" t="s">
        <v>6</v>
      </c>
      <c r="B7" s="480"/>
      <c r="C7" s="480"/>
      <c r="D7" s="635" t="s">
        <v>44</v>
      </c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0"/>
      <c r="P7" s="480"/>
      <c r="Q7" s="480"/>
    </row>
    <row r="8" spans="1:20" x14ac:dyDescent="0.25">
      <c r="A8" s="480"/>
      <c r="B8" s="480"/>
      <c r="C8" s="480"/>
      <c r="D8" s="480"/>
      <c r="E8" s="480"/>
      <c r="F8" s="480"/>
      <c r="G8" s="480"/>
      <c r="H8" s="480"/>
      <c r="I8" s="480"/>
      <c r="J8" s="480"/>
      <c r="K8" s="480"/>
      <c r="L8" s="480"/>
      <c r="M8" s="480"/>
      <c r="N8" s="480"/>
      <c r="O8" s="480"/>
      <c r="P8" s="480"/>
      <c r="Q8" s="480"/>
    </row>
    <row r="9" spans="1:20" x14ac:dyDescent="0.25">
      <c r="A9" s="480" t="s">
        <v>7</v>
      </c>
      <c r="B9" s="480"/>
      <c r="C9" s="480"/>
      <c r="D9" s="480" t="s">
        <v>8</v>
      </c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0"/>
      <c r="Q9" s="480"/>
    </row>
    <row r="10" spans="1:20" x14ac:dyDescent="0.25">
      <c r="A10" s="480"/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0"/>
      <c r="Q10" s="480"/>
    </row>
    <row r="11" spans="1:20" x14ac:dyDescent="0.25">
      <c r="A11" s="545" t="s">
        <v>12</v>
      </c>
      <c r="B11" s="480"/>
      <c r="C11" s="480"/>
      <c r="D11" s="635" t="s">
        <v>9</v>
      </c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S11" s="466" t="s">
        <v>13</v>
      </c>
      <c r="T11" s="466"/>
    </row>
    <row r="12" spans="1:20" x14ac:dyDescent="0.25">
      <c r="A12" s="480"/>
      <c r="B12" s="480"/>
      <c r="C12" s="480"/>
      <c r="D12" s="480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0"/>
      <c r="Q12" s="480"/>
      <c r="S12" s="466"/>
      <c r="T12" s="466"/>
    </row>
    <row r="13" spans="1:20" x14ac:dyDescent="0.25">
      <c r="A13" s="482" t="s">
        <v>15</v>
      </c>
      <c r="B13" s="483"/>
      <c r="C13" s="553"/>
      <c r="D13" s="547" t="s">
        <v>16</v>
      </c>
      <c r="E13" s="474"/>
      <c r="F13" s="474"/>
      <c r="G13" s="474"/>
      <c r="H13" s="474"/>
      <c r="I13" s="474"/>
      <c r="J13" s="474"/>
      <c r="K13" s="474"/>
      <c r="L13" s="474"/>
      <c r="M13" s="474"/>
      <c r="N13" s="474"/>
      <c r="O13" s="474"/>
      <c r="P13" s="474"/>
      <c r="Q13" s="475"/>
      <c r="S13" s="466" t="s">
        <v>14</v>
      </c>
      <c r="T13" s="466"/>
    </row>
    <row r="14" spans="1:20" x14ac:dyDescent="0.25">
      <c r="A14" s="485"/>
      <c r="B14" s="486"/>
      <c r="C14" s="559"/>
      <c r="D14" s="548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18"/>
      <c r="S14" s="466"/>
      <c r="T14" s="466"/>
    </row>
    <row r="15" spans="1:20" x14ac:dyDescent="0.25">
      <c r="A15" s="480" t="s">
        <v>42</v>
      </c>
      <c r="B15" s="480"/>
      <c r="C15" s="480"/>
      <c r="D15" s="480" t="s">
        <v>10</v>
      </c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0"/>
      <c r="Q15" s="480"/>
    </row>
    <row r="16" spans="1:20" x14ac:dyDescent="0.25">
      <c r="A16" s="480"/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0"/>
      <c r="Q16" s="480"/>
    </row>
    <row r="17" spans="1:17" x14ac:dyDescent="0.25">
      <c r="A17" s="480" t="s">
        <v>41</v>
      </c>
      <c r="B17" s="480"/>
      <c r="C17" s="480"/>
      <c r="D17" s="480" t="s">
        <v>38</v>
      </c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</row>
    <row r="18" spans="1:17" x14ac:dyDescent="0.25">
      <c r="A18" s="480"/>
      <c r="B18" s="480"/>
      <c r="C18" s="480"/>
      <c r="D18" s="480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  <c r="Q18" s="480"/>
    </row>
    <row r="19" spans="1:17" x14ac:dyDescent="0.25">
      <c r="A19" s="482" t="s">
        <v>40</v>
      </c>
      <c r="B19" s="474"/>
      <c r="C19" s="475"/>
      <c r="D19" s="547" t="s">
        <v>39</v>
      </c>
      <c r="E19" s="474"/>
      <c r="F19" s="474"/>
      <c r="G19" s="474"/>
      <c r="H19" s="474"/>
      <c r="I19" s="474"/>
      <c r="J19" s="474"/>
      <c r="K19" s="474"/>
      <c r="L19" s="474"/>
      <c r="M19" s="474"/>
      <c r="N19" s="474"/>
      <c r="O19" s="474"/>
      <c r="P19" s="474"/>
      <c r="Q19" s="475"/>
    </row>
    <row r="20" spans="1:17" x14ac:dyDescent="0.25">
      <c r="A20" s="548"/>
      <c r="B20" s="502"/>
      <c r="C20" s="518"/>
      <c r="D20" s="548"/>
      <c r="E20" s="502"/>
      <c r="F20" s="502"/>
      <c r="G20" s="502"/>
      <c r="H20" s="502"/>
      <c r="I20" s="502"/>
      <c r="J20" s="502"/>
      <c r="K20" s="502"/>
      <c r="L20" s="502"/>
      <c r="M20" s="502"/>
      <c r="N20" s="502"/>
      <c r="O20" s="502"/>
      <c r="P20" s="502"/>
      <c r="Q20" s="518"/>
    </row>
    <row r="21" spans="1:17" ht="15" customHeight="1" x14ac:dyDescent="0.25">
      <c r="A21" s="482" t="s">
        <v>22</v>
      </c>
      <c r="B21" s="483"/>
      <c r="C21" s="553"/>
      <c r="D21" s="482" t="s">
        <v>47</v>
      </c>
      <c r="E21" s="474"/>
      <c r="F21" s="474"/>
      <c r="G21" s="474"/>
      <c r="H21" s="474"/>
      <c r="I21" s="474"/>
      <c r="J21" s="474"/>
      <c r="K21" s="474"/>
      <c r="L21" s="474"/>
      <c r="M21" s="474"/>
      <c r="N21" s="474"/>
      <c r="O21" s="474"/>
      <c r="P21" s="474"/>
      <c r="Q21" s="475"/>
    </row>
    <row r="22" spans="1:17" x14ac:dyDescent="0.25">
      <c r="A22" s="485"/>
      <c r="B22" s="486"/>
      <c r="C22" s="559"/>
      <c r="D22" s="548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18"/>
    </row>
    <row r="26" spans="1:17" x14ac:dyDescent="0.25">
      <c r="A26" s="466" t="s">
        <v>23</v>
      </c>
      <c r="B26" s="466"/>
      <c r="C26" s="466"/>
      <c r="D26" s="466"/>
      <c r="E26" s="466"/>
      <c r="F26" s="466"/>
      <c r="G26" s="466"/>
      <c r="H26" s="466"/>
    </row>
    <row r="27" spans="1:17" x14ac:dyDescent="0.25">
      <c r="A27" s="466"/>
      <c r="B27" s="466"/>
      <c r="C27" s="466"/>
      <c r="D27" s="466"/>
      <c r="E27" s="466"/>
      <c r="F27" s="466"/>
      <c r="G27" s="466"/>
      <c r="H27" s="466"/>
    </row>
    <row r="35" spans="1:10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54" spans="1:19" x14ac:dyDescent="0.25">
      <c r="A54" s="444"/>
      <c r="B54" s="444"/>
      <c r="C54" s="444"/>
      <c r="D54" s="444"/>
      <c r="E54" s="444"/>
      <c r="F54" s="444"/>
      <c r="G54" s="444"/>
      <c r="H54" s="444"/>
      <c r="L54" s="444"/>
      <c r="M54" s="444"/>
      <c r="N54" s="444"/>
      <c r="O54" s="444"/>
      <c r="P54" s="444"/>
      <c r="Q54" s="444"/>
      <c r="R54" s="444"/>
      <c r="S54" s="444"/>
    </row>
  </sheetData>
  <mergeCells count="25">
    <mergeCell ref="A3:C4"/>
    <mergeCell ref="D3:Q4"/>
    <mergeCell ref="A5:C6"/>
    <mergeCell ref="D5:Q6"/>
    <mergeCell ref="A54:H54"/>
    <mergeCell ref="L54:S54"/>
    <mergeCell ref="A7:C8"/>
    <mergeCell ref="D7:Q8"/>
    <mergeCell ref="A9:C10"/>
    <mergeCell ref="D9:Q10"/>
    <mergeCell ref="A11:C12"/>
    <mergeCell ref="D11:Q12"/>
    <mergeCell ref="D21:Q22"/>
    <mergeCell ref="S11:T12"/>
    <mergeCell ref="S13:T14"/>
    <mergeCell ref="A13:C14"/>
    <mergeCell ref="D13:Q14"/>
    <mergeCell ref="A26:H27"/>
    <mergeCell ref="D19:Q20"/>
    <mergeCell ref="A21:C22"/>
    <mergeCell ref="A15:C16"/>
    <mergeCell ref="D15:Q16"/>
    <mergeCell ref="A17:C18"/>
    <mergeCell ref="D17:Q18"/>
    <mergeCell ref="A19:C2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Grobkonzept</vt:lpstr>
      <vt:lpstr>Dach-Fenster</vt:lpstr>
      <vt:lpstr>OGD</vt:lpstr>
      <vt:lpstr>AW-Fenster</vt:lpstr>
      <vt:lpstr>UGD</vt:lpstr>
      <vt:lpstr>Heizung</vt:lpstr>
      <vt:lpstr>Berechnungen</vt:lpstr>
      <vt:lpstr>Kat. 1 U-Wert</vt:lpstr>
      <vt:lpstr>Kat. 2 Heizung</vt:lpstr>
      <vt:lpstr>Formeln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2025-12-16T16:13:46Z</dcterms:created>
  <dcterms:modified xsi:type="dcterms:W3CDTF">2026-03-16T11:25:01Z</dcterms:modified>
</cp:coreProperties>
</file>
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xl\Downloads\"/>
    </mc:Choice>
  </mc:AlternateContent>
  <xr:revisionPtr revIDLastSave="0" documentId="13_ncr:1_{2B0370BB-D0C0-4FF7-BFBD-1E894FAB460B}" xr6:coauthVersionLast="47" xr6:coauthVersionMax="47" xr10:uidLastSave="{00000000-0000-0000-0000-000000000000}"/>
  <bookViews>
    <workbookView xWindow="14304" yWindow="5700" windowWidth="30300" windowHeight="14568" tabRatio="669" xr2:uid="{703A5D90-4837-49DE-895F-0E1B4E770062}"/>
  </bookViews>
  <sheets>
    <sheet name="Dach-Fenster" sheetId="6" r:id="rId1"/>
    <sheet name="OGD" sheetId="11" r:id="rId2"/>
    <sheet name="AW-Fenster" sheetId="8" r:id="rId3"/>
    <sheet name="UGD" sheetId="10" r:id="rId4"/>
    <sheet name="Heizung" sheetId="5" r:id="rId5"/>
    <sheet name="Kat. 1 U-Wert" sheetId="3" r:id="rId6"/>
    <sheet name="Kat. Heizung" sheetId="4" r:id="rId7"/>
    <sheet name="Formeln" sheetId="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0" l="1"/>
  <c r="I19" i="10"/>
  <c r="G14" i="10"/>
  <c r="I13" i="10"/>
  <c r="G13" i="10"/>
  <c r="I12" i="10"/>
  <c r="G12" i="10"/>
  <c r="I5" i="10"/>
  <c r="H5" i="10"/>
  <c r="F5" i="10"/>
  <c r="D5" i="10"/>
  <c r="I29" i="8"/>
  <c r="I28" i="8"/>
  <c r="I5" i="8" s="1"/>
  <c r="I27" i="8"/>
  <c r="G21" i="8"/>
  <c r="G20" i="8"/>
  <c r="G14" i="8"/>
  <c r="G13" i="8"/>
  <c r="H6" i="8"/>
  <c r="F6" i="8"/>
  <c r="D6" i="8"/>
  <c r="H5" i="8"/>
  <c r="F5" i="8"/>
  <c r="D5" i="8"/>
  <c r="I20" i="11"/>
  <c r="I19" i="11"/>
  <c r="I14" i="11"/>
  <c r="G14" i="11"/>
  <c r="I13" i="11"/>
  <c r="G13" i="11"/>
  <c r="I5" i="11"/>
  <c r="H5" i="11"/>
  <c r="F5" i="11"/>
  <c r="D5" i="11"/>
  <c r="D16" i="6"/>
  <c r="D15" i="6"/>
  <c r="N6" i="6"/>
  <c r="L6" i="6"/>
  <c r="J6" i="6"/>
  <c r="H6" i="6"/>
  <c r="F6" i="6"/>
  <c r="D6" i="6"/>
  <c r="H5" i="6"/>
  <c r="D5" i="6"/>
  <c r="I39" i="6"/>
  <c r="I35" i="6"/>
  <c r="I32" i="6"/>
  <c r="I31" i="6"/>
  <c r="I30" i="6"/>
  <c r="I29" i="6"/>
  <c r="G25" i="6"/>
  <c r="G24" i="6"/>
  <c r="F5" i="6"/>
  <c r="D14" i="6"/>
  <c r="I12" i="6"/>
  <c r="G12" i="6"/>
  <c r="I34" i="6" l="1"/>
  <c r="J5" i="6" l="1"/>
  <c r="I36" i="6"/>
  <c r="I40" i="6" s="1"/>
  <c r="I41" i="6" s="1"/>
  <c r="I6" i="8" l="1"/>
</calcChain>
</file>

<file path=xl/sharedStrings.xml><?xml version="1.0" encoding="utf-8"?>
<sst xmlns="http://schemas.openxmlformats.org/spreadsheetml/2006/main" count="608" uniqueCount="344">
  <si>
    <t>Datenstufe 1</t>
  </si>
  <si>
    <t>Datenstufe 2</t>
  </si>
  <si>
    <t>Eingabe</t>
  </si>
  <si>
    <t>Dach</t>
  </si>
  <si>
    <t>Dachform</t>
  </si>
  <si>
    <t>U-Wert Bestand</t>
  </si>
  <si>
    <t>Außenwand</t>
  </si>
  <si>
    <t>Standardkessel</t>
  </si>
  <si>
    <t>Energieträger</t>
  </si>
  <si>
    <t>Erzeugerart</t>
  </si>
  <si>
    <t>Niedertemperaturkessel</t>
  </si>
  <si>
    <t>Brennwertkessel</t>
  </si>
  <si>
    <t>pauschal</t>
  </si>
  <si>
    <t>Fläche A [m²]</t>
  </si>
  <si>
    <t>LOD</t>
  </si>
  <si>
    <t>Nutzereingabe der Fläche</t>
  </si>
  <si>
    <t>U-Wert [W/m²K]</t>
  </si>
  <si>
    <t>Minderungsfaktor</t>
  </si>
  <si>
    <t>Dachfenster</t>
  </si>
  <si>
    <t>Angabe des U-Werts über Nutzereingabe</t>
  </si>
  <si>
    <t>UGD</t>
  </si>
  <si>
    <r>
      <t>Lüftungswärmetransferkoeffizient
H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[W/K]</t>
    </r>
  </si>
  <si>
    <t>Dach saniert (beheizt)</t>
  </si>
  <si>
    <t>Platzhalter für Kosten</t>
  </si>
  <si>
    <t>Dachfenster saniert</t>
  </si>
  <si>
    <t>Fenster saniert</t>
  </si>
  <si>
    <t>UGD saniert</t>
  </si>
  <si>
    <t>keine Empfehlung</t>
  </si>
  <si>
    <t>Empfehlung Dämmung</t>
  </si>
  <si>
    <t>Komplettsanierung</t>
  </si>
  <si>
    <t>Dachfenstertausch</t>
  </si>
  <si>
    <t>OGD</t>
  </si>
  <si>
    <t>OGD saniert</t>
  </si>
  <si>
    <t>Empfehlung Dämmungaustausch</t>
  </si>
  <si>
    <t>System</t>
  </si>
  <si>
    <t>Eingabe kWh</t>
  </si>
  <si>
    <t>Sanierungsempfehlung</t>
  </si>
  <si>
    <t>Öl</t>
  </si>
  <si>
    <t>Erdgas</t>
  </si>
  <si>
    <t>Biomasse</t>
  </si>
  <si>
    <t>Pellets</t>
  </si>
  <si>
    <t>keine Sanierungsempfehlung</t>
  </si>
  <si>
    <t>Scheitholz</t>
  </si>
  <si>
    <t>Strom</t>
  </si>
  <si>
    <t>Luft-Wasser Wärmepumpe</t>
  </si>
  <si>
    <t>Wasser-Wasser Wärmepumpe</t>
  </si>
  <si>
    <t>Stromdirektheizung</t>
  </si>
  <si>
    <t>Fernwärme</t>
  </si>
  <si>
    <t>Sonne</t>
  </si>
  <si>
    <t>Solarthermie WWB</t>
  </si>
  <si>
    <t>Solarthermie WWB und Heizung</t>
  </si>
  <si>
    <t>Heizkörper</t>
  </si>
  <si>
    <t>Flächenheizung (Fußboden-, Wand-, Deckenheizung)</t>
  </si>
  <si>
    <t>Einzelöfen</t>
  </si>
  <si>
    <t>Photovoltaik-Anlage vorhanden</t>
  </si>
  <si>
    <t>Photovoltaik-Anlage möglich</t>
  </si>
  <si>
    <t>Solarkataster</t>
  </si>
  <si>
    <t>Fernwärmeanschluss möglich</t>
  </si>
  <si>
    <t>Gebietszuordnung</t>
  </si>
  <si>
    <t>Gasanschluss vorhanden</t>
  </si>
  <si>
    <t>Umstellung auf Flächenheizung geplant</t>
  </si>
  <si>
    <t>Quelle: Bundesanzeiger - Bekanntmachung der Regeln zur Datenaufnahme und Datenverwendung im Wohngebäudebestand vom 08. Oktober 2020</t>
  </si>
  <si>
    <t>Tabelle 2: Pauschalwerte für den Wärmedurchgangskoeffizienten</t>
  </si>
  <si>
    <t>Bauteil</t>
  </si>
  <si>
    <t>Konstruktion</t>
  </si>
  <si>
    <t>Baualtersklassen</t>
  </si>
  <si>
    <t>bis 
1918</t>
  </si>
  <si>
    <t>1919
bis
1948</t>
  </si>
  <si>
    <t>1949
bis
1957</t>
  </si>
  <si>
    <t>1958
bis
1968</t>
  </si>
  <si>
    <t>1969
bis
1978</t>
  </si>
  <si>
    <t>1979
bis
1983</t>
  </si>
  <si>
    <t>1984
bis
1994</t>
  </si>
  <si>
    <t>1995
bis
2001</t>
  </si>
  <si>
    <t>2002
bis
2006</t>
  </si>
  <si>
    <t>Pauschalwerte für den Wärmedurchgangskoeffizienten in W/(m²*K)</t>
  </si>
  <si>
    <t>Massive Konstruktion</t>
  </si>
  <si>
    <t>Holzkonstruktion</t>
  </si>
  <si>
    <t>Oberste Geschossdecke</t>
  </si>
  <si>
    <t>Massive Decke</t>
  </si>
  <si>
    <t>Holzbalkendecke</t>
  </si>
  <si>
    <t>Außenwand 
massive Konstruktion</t>
  </si>
  <si>
    <t>Zweischalige Wandaufbauten</t>
  </si>
  <si>
    <t>Zweischalige Wand- 
aufbauten mit Dämmung</t>
  </si>
  <si>
    <t>keine
Angabe</t>
  </si>
  <si>
    <t>Massivwand aus Vollziegel
bis 20cm Wandstärke</t>
  </si>
  <si>
    <t>Wie vorstehend, jedoch
20 bis 30cm Wandstärke</t>
  </si>
  <si>
    <t>Wie vorstehend, jedoch
über 30cm Wandstärke</t>
  </si>
  <si>
    <t>Massivwand aus Hochlochziegel</t>
  </si>
  <si>
    <t>Sonstige massive Wandaufbauten bis 20cm Wandstärke</t>
  </si>
  <si>
    <t>Sonstige Wandaufbauten über 20cm Wandstärke</t>
  </si>
  <si>
    <t>Außenwand Holzkonstruktion (Fachwerk, Fertighaus)</t>
  </si>
  <si>
    <t>Massivholzwand, Holzrahmen oder Holztafelwand</t>
  </si>
  <si>
    <t>Sonstige Holzkonstruktion</t>
  </si>
  <si>
    <t>Sonstige Bauteile gg. Erdreich oder unbeheizte Räume</t>
  </si>
  <si>
    <t>Kellerdecke 
Stahlbeton massiv</t>
  </si>
  <si>
    <t>Kellerdecke 
als Holzbalkendecke</t>
  </si>
  <si>
    <t>Boden gegen Erdreich,
Stahlbeton massiv</t>
  </si>
  <si>
    <t>Türen</t>
  </si>
  <si>
    <t>Im Wesentlichen aus Metall</t>
  </si>
  <si>
    <t>Im Wesentlichen aus Holz, Holzwerkstoffen oder Kunststoff</t>
  </si>
  <si>
    <t>Eigen-
schaft</t>
  </si>
  <si>
    <t>Baualtersklasse</t>
  </si>
  <si>
    <t>bis
1978</t>
  </si>
  <si>
    <t>ab 
2002</t>
  </si>
  <si>
    <t>Fenster, Fenstertüren</t>
  </si>
  <si>
    <t>Holzfenster, einfach verglast</t>
  </si>
  <si>
    <r>
      <t>U</t>
    </r>
    <r>
      <rPr>
        <vertAlign val="subscript"/>
        <sz val="11"/>
        <color theme="1"/>
        <rFont val="Aptos Narrow"/>
        <family val="2"/>
        <scheme val="minor"/>
      </rPr>
      <t>W</t>
    </r>
  </si>
  <si>
    <t>Glas</t>
  </si>
  <si>
    <t>einfach</t>
  </si>
  <si>
    <t>Holzfenster, zwei Scheiben</t>
  </si>
  <si>
    <t>zweifach</t>
  </si>
  <si>
    <t>MSIV 2</t>
  </si>
  <si>
    <t>Kunststofffenster, Isolierverglasung</t>
  </si>
  <si>
    <t>Aluminium- oder Stahlfenster, 
Isolierverglasung</t>
  </si>
  <si>
    <t>MSIV 2 = Mehrscheibenisolierverglasung</t>
  </si>
  <si>
    <t>Tabelle: Wärmeübergangswiderstände (R-Werte Rsi und Rse) für an Außenluft grenzende Räume</t>
  </si>
  <si>
    <t>Wärmeübergangswiderstand</t>
  </si>
  <si>
    <t>aufwärts</t>
  </si>
  <si>
    <t>horizontal</t>
  </si>
  <si>
    <t>abwärts</t>
  </si>
  <si>
    <r>
      <t>R</t>
    </r>
    <r>
      <rPr>
        <vertAlign val="subscript"/>
        <sz val="11"/>
        <color theme="1"/>
        <rFont val="Aptos Narrow"/>
        <family val="2"/>
        <scheme val="minor"/>
      </rPr>
      <t>si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</si>
  <si>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se</t>
    </r>
  </si>
  <si>
    <t>Endenergie-Aufwandszahl</t>
  </si>
  <si>
    <t>Durchschnittswerte für die Raumheizung und Warmwasserbereitung (ohne Hilfsenergie)</t>
  </si>
  <si>
    <t>Baualter</t>
  </si>
  <si>
    <t>Aufwandszahl e</t>
  </si>
  <si>
    <t>Standardkessel (auch Holzkessel)</t>
  </si>
  <si>
    <t>bis 1986</t>
  </si>
  <si>
    <t>1987 - 1994</t>
  </si>
  <si>
    <t>ab 1995</t>
  </si>
  <si>
    <t>Niedertemperaturkessel
Öl / Gas</t>
  </si>
  <si>
    <t>ab 1987</t>
  </si>
  <si>
    <t>Gas-Brennwert</t>
  </si>
  <si>
    <t>-</t>
  </si>
  <si>
    <t>Elektrowärmepumpe
Erdreich</t>
  </si>
  <si>
    <t>bis 1994</t>
  </si>
  <si>
    <t>Elektrowärmepumpe Luft</t>
  </si>
  <si>
    <r>
      <t xml:space="preserve">Tabelle 22 - Aufwandszahl für bauteilintegrierten Heizflächen (Flächenheizungen); lichte Raumhöhe </t>
    </r>
    <r>
      <rPr>
        <b/>
        <sz val="12"/>
        <color theme="1"/>
        <rFont val="Aptos Narrow"/>
        <family val="2"/>
      </rPr>
      <t>≤ 4m</t>
    </r>
  </si>
  <si>
    <t>Aufwandszahl für freie Heizflächen - Raumhöhe ≤ 4m</t>
  </si>
  <si>
    <t>Einflussparameter</t>
  </si>
  <si>
    <r>
      <t>e</t>
    </r>
    <r>
      <rPr>
        <vertAlign val="subscript"/>
        <sz val="11"/>
        <color theme="1"/>
        <rFont val="Aptos Narrow"/>
        <family val="2"/>
        <scheme val="minor"/>
      </rPr>
      <t>h,ce,0</t>
    </r>
  </si>
  <si>
    <t>Raumtemperaturregelung</t>
  </si>
  <si>
    <t>ungeregelt, mit zentraler Zulauftemperaturregelung</t>
  </si>
  <si>
    <t>Führungsraumregelung- oder Ein-Rohr-Heizung</t>
  </si>
  <si>
    <t>Raumtemperaturregelung (elektromechanisch/elektronisch)</t>
  </si>
  <si>
    <t>P-Regler (vor 1988)</t>
  </si>
  <si>
    <r>
      <t xml:space="preserve">P-Regler, 2-Punkt-Regler (Hysterese </t>
    </r>
    <r>
      <rPr>
        <sz val="11"/>
        <color theme="1"/>
        <rFont val="Aptos Narrow"/>
        <family val="2"/>
      </rPr>
      <t xml:space="preserve">≤ </t>
    </r>
    <r>
      <rPr>
        <sz val="12.65"/>
        <color theme="1"/>
        <rFont val="Aptos Narrow"/>
        <family val="2"/>
      </rPr>
      <t>0,5K</t>
    </r>
  </si>
  <si>
    <r>
      <t>P-Regler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</si>
  <si>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>PI-Regler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</si>
  <si>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>PID-Regler (mit Optimierungsfunktion, z.B. Anwesenheits-
management, adaptivem Regler)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</si>
  <si>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>Zu- / Abschlag auf Aufwandszahl e</t>
    </r>
    <r>
      <rPr>
        <vertAlign val="subscript"/>
        <sz val="11"/>
        <color theme="1"/>
        <rFont val="Aptos Narrow"/>
        <family val="2"/>
        <scheme val="minor"/>
      </rPr>
      <t>h,ce,0</t>
    </r>
  </si>
  <si>
    <r>
      <t>∆e</t>
    </r>
    <r>
      <rPr>
        <vertAlign val="subscript"/>
        <sz val="11"/>
        <color theme="1"/>
        <rFont val="Aptos Narrow"/>
        <family val="2"/>
      </rPr>
      <t>h,ce,1</t>
    </r>
  </si>
  <si>
    <t>Fußbodenheizung</t>
  </si>
  <si>
    <t>Übertemperatur</t>
  </si>
  <si>
    <t>Zwei-Rohr-Heizung und Ein-Rohr-Heizung, erneuert</t>
  </si>
  <si>
    <r>
      <t xml:space="preserve">  </t>
    </r>
    <r>
      <rPr>
        <sz val="11"/>
        <color theme="1"/>
        <rFont val="Aptos Narrow"/>
        <family val="2"/>
        <scheme val="minor"/>
      </rPr>
      <t>Nasssystem</t>
    </r>
  </si>
  <si>
    <t>60K (z.B. 90°C / 70°C)</t>
  </si>
  <si>
    <r>
      <t xml:space="preserve">  </t>
    </r>
    <r>
      <rPr>
        <sz val="11"/>
        <color theme="1"/>
        <rFont val="Aptos Narrow"/>
        <family val="2"/>
        <scheme val="minor"/>
      </rPr>
      <t>Trockensystem</t>
    </r>
  </si>
  <si>
    <t>42,5K (z.B. 70°C / 55°C)</t>
  </si>
  <si>
    <r>
      <t xml:space="preserve">  </t>
    </r>
    <r>
      <rPr>
        <sz val="11"/>
        <color theme="1"/>
        <rFont val="Aptos Narrow"/>
        <family val="2"/>
        <scheme val="minor"/>
      </rPr>
      <t>System mit niedriger Bedeckung</t>
    </r>
  </si>
  <si>
    <t>30K (z.B. 55°C / 45°C)</t>
  </si>
  <si>
    <t>Wandheizung</t>
  </si>
  <si>
    <t>20K (z.B. 45°C / 35°C)</t>
  </si>
  <si>
    <t>Deckenheizung</t>
  </si>
  <si>
    <t>Ein-Rohr-Heizung (nicht erneuert)</t>
  </si>
  <si>
    <t>Heizungsanlage in Verbindung mit mechanischer Lüftung</t>
  </si>
  <si>
    <r>
      <t>∆e</t>
    </r>
    <r>
      <rPr>
        <vertAlign val="subscript"/>
        <sz val="11"/>
        <color theme="1"/>
        <rFont val="Aptos Narrow"/>
        <family val="2"/>
        <scheme val="minor"/>
      </rPr>
      <t>h,ce,2</t>
    </r>
  </si>
  <si>
    <t>spezifische Wärmeverlust
übe angrenzende Flächen</t>
  </si>
  <si>
    <t>integrierte Heizfläche ohne Mindestdämmung nach 
DIN EN 1264 (alle Teile)</t>
  </si>
  <si>
    <t>Radiatoren mit Gebläse</t>
  </si>
  <si>
    <t>integrierte Heizfläche mit Mindestdämmung nach 
DIN EN 1264 (alle Teile)</t>
  </si>
  <si>
    <r>
      <t>∆e</t>
    </r>
    <r>
      <rPr>
        <vertAlign val="subscript"/>
        <sz val="11"/>
        <color theme="1"/>
        <rFont val="Aptos Narrow"/>
        <family val="2"/>
      </rPr>
      <t>h,ce,2</t>
    </r>
  </si>
  <si>
    <t>spezifische Wärmeverlust 
über Außenbauteile
(GF = Glasfläche)</t>
  </si>
  <si>
    <t>Radiatorenposition Innenwand</t>
  </si>
  <si>
    <t>integrierte Heizfläche einer 100% besseren Dämmung als nach DIN EN 1264 (alle Teile) gefordert</t>
  </si>
  <si>
    <t>Radiatorenposition Außenwand</t>
  </si>
  <si>
    <r>
      <t xml:space="preserve">  </t>
    </r>
    <r>
      <rPr>
        <sz val="11"/>
        <color theme="1"/>
        <rFont val="Aptos Narrow"/>
        <family val="2"/>
        <scheme val="minor"/>
      </rPr>
      <t>Glasfläche ohne Strahlungsschutz</t>
    </r>
  </si>
  <si>
    <r>
      <t xml:space="preserve">  </t>
    </r>
    <r>
      <rPr>
        <sz val="11"/>
        <color theme="1"/>
        <rFont val="Aptos Narrow"/>
        <family val="2"/>
        <scheme val="minor"/>
      </rPr>
      <t>Glasfläche mit Strahlungsschutz</t>
    </r>
  </si>
  <si>
    <r>
      <t xml:space="preserve">  </t>
    </r>
    <r>
      <rPr>
        <sz val="11"/>
        <color theme="1"/>
        <rFont val="Aptos Narrow"/>
        <family val="2"/>
        <scheme val="minor"/>
      </rPr>
      <t>Außenwand</t>
    </r>
  </si>
  <si>
    <r>
      <t>∆e</t>
    </r>
    <r>
      <rPr>
        <vertAlign val="subscript"/>
        <sz val="11"/>
        <color theme="1"/>
        <rFont val="Aptos Narrow"/>
        <family val="2"/>
      </rPr>
      <t>h,ce,3</t>
    </r>
  </si>
  <si>
    <r>
      <t>intermittierender Betrieb</t>
    </r>
    <r>
      <rPr>
        <vertAlign val="superscript"/>
        <sz val="11"/>
        <color theme="1"/>
        <rFont val="Aptos Narrow"/>
        <family val="2"/>
        <scheme val="minor"/>
      </rPr>
      <t>b</t>
    </r>
  </si>
  <si>
    <t>Regler</t>
  </si>
  <si>
    <r>
      <t>∆e</t>
    </r>
    <r>
      <rPr>
        <vertAlign val="subscript"/>
        <sz val="11"/>
        <color theme="1"/>
        <rFont val="Aptos Narrow"/>
        <family val="2"/>
      </rPr>
      <t>h,ce,4</t>
    </r>
  </si>
  <si>
    <t>erhöhte Strahlung</t>
  </si>
  <si>
    <r>
      <t>∆e</t>
    </r>
    <r>
      <rPr>
        <vertAlign val="subscript"/>
        <sz val="11"/>
        <color theme="1"/>
        <rFont val="Aptos Narrow"/>
        <family val="2"/>
      </rPr>
      <t>h,ce,5</t>
    </r>
  </si>
  <si>
    <t>Einzelraumregelsystem</t>
  </si>
  <si>
    <t>eigenständig</t>
  </si>
  <si>
    <t>eigenständig mit selbstständiger Start/Stopp-Anpassung</t>
  </si>
  <si>
    <t>Netzwerkbetrieb mit selbstständiger Anpassung und Interaktion</t>
  </si>
  <si>
    <t>Jahres-Heizwärmebedarf 
kWh/a</t>
  </si>
  <si>
    <t>[Gradtagsfaktor x (Transmissionswärmeverlust + Lüftungswärmeverlust)] - [Nutzungsgrad interner Gewinne x (solare Gewinne + interne Gewinne)]</t>
  </si>
  <si>
    <t>Interne Wärmegewinne W/m²</t>
  </si>
  <si>
    <t>5 x Nutzfläche x Länge der Heizperiode x 0,024 
(Länge der Heizperiode im Durchschnitt 185 Tage)</t>
  </si>
  <si>
    <t>Solare Gewinne</t>
  </si>
  <si>
    <t>∑ (Einstrahlung x Energiedurchlassgrad der Fenster x Fläche X Korrekturfaktoren) pro Himmelsrichtung</t>
  </si>
  <si>
    <t>Wärmebedarf</t>
  </si>
  <si>
    <t>Transmissionswärmeverlust + Lüftungswärmeverlust</t>
  </si>
  <si>
    <r>
      <t>Transmissionswärmeverlust
H</t>
    </r>
    <r>
      <rPr>
        <vertAlign val="subscript"/>
        <sz val="11"/>
        <color theme="1"/>
        <rFont val="Aptos Narrow"/>
        <family val="2"/>
        <scheme val="minor"/>
      </rPr>
      <t>T</t>
    </r>
  </si>
  <si>
    <t>∑ (Korrekturfaktor x U-Wert x Bauteilfläche) + (Wärmebrückenzuschlag x Hüllfläche des Gebäudes)</t>
  </si>
  <si>
    <t>Absoluter Wert</t>
  </si>
  <si>
    <r>
      <t>spezifischer Transmissionswärmeverlust 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'</t>
    </r>
  </si>
  <si>
    <r>
      <t>Transmissionswärmeverlust H</t>
    </r>
    <r>
      <rPr>
        <vertAlign val="subscript"/>
        <sz val="11"/>
        <color theme="1"/>
        <rFont val="Aptos Narrow"/>
        <family val="2"/>
        <scheme val="minor"/>
      </rPr>
      <t xml:space="preserve">T </t>
    </r>
    <r>
      <rPr>
        <sz val="11"/>
        <color theme="1"/>
        <rFont val="Aptos Narrow"/>
        <family val="2"/>
        <scheme val="minor"/>
      </rPr>
      <t>/ thermische Hüllfläche</t>
    </r>
  </si>
  <si>
    <t>Flächenbezogen</t>
  </si>
  <si>
    <r>
      <t>Nutzfläche A</t>
    </r>
    <r>
      <rPr>
        <vertAlign val="subscript"/>
        <sz val="11"/>
        <color theme="1"/>
        <rFont val="Aptos Narrow"/>
        <family val="2"/>
        <scheme val="minor"/>
      </rPr>
      <t>NG</t>
    </r>
  </si>
  <si>
    <t>Gebäudevolumen x 0,32</t>
  </si>
  <si>
    <t>Gradtagszahl Kd/a</t>
  </si>
  <si>
    <t>Außentemperatur unter einer festgelegten Heizgrenztemperatur (regional) (Bsp.: dena-Energiepass)</t>
  </si>
  <si>
    <t>Gradtagsfaktor
kKh</t>
  </si>
  <si>
    <t>Gradtagszahl x Faktor 0,024</t>
  </si>
  <si>
    <t>0,34 x Luftwechselrate x beheiztes Luftvolumen
(Luftwechselrate aus DIN 18599 Tabelle 12 - 14)</t>
  </si>
  <si>
    <t>Kleinbuchstaben beziehen sich auf m² / Großbuchstaben beziehen sich auf den Jahreswert</t>
  </si>
  <si>
    <t>DACH &amp; DACHFENSTER</t>
  </si>
  <si>
    <t>ERGEBNIS-ZUSAMMENFASSUNG</t>
  </si>
  <si>
    <t>Korrekturfaktor F</t>
  </si>
  <si>
    <t>HT [W/K]</t>
  </si>
  <si>
    <t>∆UWB [W/m²K]</t>
  </si>
  <si>
    <t>Ages [m²]</t>
  </si>
  <si>
    <t>BESTANDSAUFNAHME DACH</t>
  </si>
  <si>
    <t>Parameter</t>
  </si>
  <si>
    <t>Wert</t>
  </si>
  <si>
    <t>Einheit</t>
  </si>
  <si>
    <t>Dachraum beheizt</t>
  </si>
  <si>
    <t>Ja / Nein</t>
  </si>
  <si>
    <t>Flachdach / Satteldach</t>
  </si>
  <si>
    <t>Gesamtdachfläche</t>
  </si>
  <si>
    <t>m²</t>
  </si>
  <si>
    <t>LOD oder Nutzereingabe</t>
  </si>
  <si>
    <t>Dachfläche (netto)</t>
  </si>
  <si>
    <t>U-Wert Bestand (ohne Korr.)</t>
  </si>
  <si>
    <t>W/m²K</t>
  </si>
  <si>
    <t>Baujahr über LOD (gemäß Kat.1)</t>
  </si>
  <si>
    <t>Berechnung über Bauteilschichten</t>
  </si>
  <si>
    <t>U-Wert Bestand (mit Korr.)</t>
  </si>
  <si>
    <t>kein Korrekturfaktor bei Aufsparren</t>
  </si>
  <si>
    <t>BESTANDSAUFNAHME DACHFENSTER</t>
  </si>
  <si>
    <t>Fläche Dachfenster</t>
  </si>
  <si>
    <t>U-Wert Dachfenster</t>
  </si>
  <si>
    <t>Konstruktionsart</t>
  </si>
  <si>
    <t>oder Alterseingabe gemäß Kat.1 U-Wert über</t>
  </si>
  <si>
    <t>Rahmenart und Glasart</t>
  </si>
  <si>
    <t>BERECHNUNG</t>
  </si>
  <si>
    <t>Berechnung</t>
  </si>
  <si>
    <t>Formel</t>
  </si>
  <si>
    <t>Ergebnis</t>
  </si>
  <si>
    <t>R-Wert Zwischensparren</t>
  </si>
  <si>
    <t>Rsi + Σ(d/λ) + Rse</t>
  </si>
  <si>
    <t>m²K/W</t>
  </si>
  <si>
    <t>R-Wert Aufsparren</t>
  </si>
  <si>
    <t>U-Wert (aus Zwischensparren)</t>
  </si>
  <si>
    <t>U = (1 / RT)</t>
  </si>
  <si>
    <t>U-Wert (aus Aufsparren)</t>
  </si>
  <si>
    <t>HT Dach</t>
  </si>
  <si>
    <t>HT = F × U × A</t>
  </si>
  <si>
    <t>W/K</t>
  </si>
  <si>
    <t>HT Dachfenster</t>
  </si>
  <si>
    <t>∑ HT Gesamt</t>
  </si>
  <si>
    <t>HT,Dach + HT,Fenster</t>
  </si>
  <si>
    <t>Wärmebrückenzuschlag ∆UWB</t>
  </si>
  <si>
    <t>Ages (Hüllfläche)</t>
  </si>
  <si>
    <t>Dachfläche + Fensterfläche</t>
  </si>
  <si>
    <t>HT (mit Wärmebrücken)</t>
  </si>
  <si>
    <t>∑HT + ∆UWB × Ages</t>
  </si>
  <si>
    <t>HT' (flächenbezogen)</t>
  </si>
  <si>
    <t>HT / Ages</t>
  </si>
  <si>
    <t>SANIERUNGSEMPFEHLUNG</t>
  </si>
  <si>
    <t>Bauteil / Bewertung</t>
  </si>
  <si>
    <t>Empfehlung</t>
  </si>
  <si>
    <t>U-Wert Ziel [W/m²K]</t>
  </si>
  <si>
    <t>Maßnahme / Annahmen</t>
  </si>
  <si>
    <t>Sanierungsempfehlung über geschätztes Baujahr</t>
  </si>
  <si>
    <t>&lt; 20 Jahre (neues Dach)</t>
  </si>
  <si>
    <t>Bestand</t>
  </si>
  <si>
    <t>Sanierungswunsch Ja / Nein</t>
  </si>
  <si>
    <t>20–40 Jahre (sanierungsbedürftig)</t>
  </si>
  <si>
    <t>0,14</t>
  </si>
  <si>
    <t>Mineralwolle WLG (035), U-Wert gemäß BEG EM</t>
  </si>
  <si>
    <t>&gt; 40 Jahre (sanierungsbedürftig)</t>
  </si>
  <si>
    <t>Fenstertausch über geschätztes Baujahr</t>
  </si>
  <si>
    <t>&lt; 30 Jahre (neueres Fenster)</t>
  </si>
  <si>
    <t>&gt; 30 Jahre (sanierungsbedürftig)</t>
  </si>
  <si>
    <t>1,00</t>
  </si>
  <si>
    <t>Kunststoff-/Holzrahmen, U-Wert gemäß BEG EM</t>
  </si>
  <si>
    <t>U-Wert × Minderungsfaktor</t>
  </si>
  <si>
    <t>Dachfläche − Dachfensterfläche</t>
  </si>
  <si>
    <t>OBERSTE GESCHOSSDECKE (OGD)</t>
  </si>
  <si>
    <t>BESTANDSAUFNAHME OGD</t>
  </si>
  <si>
    <t>Fläche OGD</t>
  </si>
  <si>
    <t>LOD Grundfläche oder Nutzereingabe</t>
  </si>
  <si>
    <t>Dämmschichtdicke / WLG</t>
  </si>
  <si>
    <t>HT OGD</t>
  </si>
  <si>
    <t>∑ HT OGD Gesamt</t>
  </si>
  <si>
    <t>HT,OGD</t>
  </si>
  <si>
    <t>Sanierungsempfehlung über Baujahr</t>
  </si>
  <si>
    <t>OGD gedämmt</t>
  </si>
  <si>
    <t>OGD nicht gedämmt</t>
  </si>
  <si>
    <t>EPS/XPS WLG (032), U-Wert gemäß BEG EM</t>
  </si>
  <si>
    <t>Dämmung &gt;40 Jahre (sanierungsbedürftig)</t>
  </si>
  <si>
    <t>AUSSENWAND &amp; FENSTER</t>
  </si>
  <si>
    <t>Fenster / Türen</t>
  </si>
  <si>
    <t>BESTANDSAUFNAHME AUSSENWAND</t>
  </si>
  <si>
    <t>Fläche Außenwand</t>
  </si>
  <si>
    <t>LOD (Umfang × Höhe − 30% Fenster)</t>
  </si>
  <si>
    <t>AW-Konstruktion (gemäß Kat.1)</t>
  </si>
  <si>
    <t>BESTANDSAUFNAHME FENSTER / TÜREN</t>
  </si>
  <si>
    <t>Fläche Fenster / Türen</t>
  </si>
  <si>
    <t>LOD (30% der Gesamtaußenwandfläche)</t>
  </si>
  <si>
    <t>U-Wert Fenster</t>
  </si>
  <si>
    <t>Alterseingabe gemäß Kat.1 U-Wert über</t>
  </si>
  <si>
    <t>HT Außenwand</t>
  </si>
  <si>
    <t>HT Fenster / Türen</t>
  </si>
  <si>
    <t>HT,AW + HT,Fenster</t>
  </si>
  <si>
    <t>Außenwand saniert</t>
  </si>
  <si>
    <t>AW gedämmt</t>
  </si>
  <si>
    <t>AW nicht gedämmt</t>
  </si>
  <si>
    <t>0,20</t>
  </si>
  <si>
    <t>EPS WLG (035), U-Wert gemäß BEG EM</t>
  </si>
  <si>
    <t>Dämmung &gt;50 Jahre (sanierungsbedürftig)</t>
  </si>
  <si>
    <t>Fenstertausch über Baujahr</t>
  </si>
  <si>
    <t>Fenstertausch</t>
  </si>
  <si>
    <t>0,95</t>
  </si>
  <si>
    <t>UNTERSTE GESCHOSSDECKE (UGD)</t>
  </si>
  <si>
    <t>BESTANDSAUFNAHME UGD</t>
  </si>
  <si>
    <t>Fläche UGD</t>
  </si>
  <si>
    <t>HT UGD</t>
  </si>
  <si>
    <t>∑ HT UGD Gesamt</t>
  </si>
  <si>
    <t>HT,UGD</t>
  </si>
  <si>
    <t>UGD gedämmt</t>
  </si>
  <si>
    <t>UGD nicht gedämmt</t>
  </si>
  <si>
    <t>0,25</t>
  </si>
  <si>
    <t>EPS/XPS WLG (030), U-Wert gemäß BEG EM</t>
  </si>
  <si>
    <t>HEIZUNGSSYSTEM – BESTAND</t>
  </si>
  <si>
    <t>SYSTEM &amp; VERBRAUCH</t>
  </si>
  <si>
    <t>Systemart</t>
  </si>
  <si>
    <t>zentral / zentral mit Zusatz / dezentral</t>
  </si>
  <si>
    <t>Jahresverbrauch (kWh)</t>
  </si>
  <si>
    <t>Baujahr Heizung</t>
  </si>
  <si>
    <t>WÄRMEERZEUGUNG ZENTRAL</t>
  </si>
  <si>
    <t>Sole-Wasser WP Sonden</t>
  </si>
  <si>
    <t>Sole-Wasser WP Erdkollektor</t>
  </si>
  <si>
    <t>ZUSATZHEIZUNG</t>
  </si>
  <si>
    <t>HEIZFLÄCHENART</t>
  </si>
  <si>
    <t>ZUSATZINFORMATIONEN FÜR SANIERUNGSEMPFEHLUNG</t>
  </si>
  <si>
    <t>Brennstofflagerfläche im Gebäude vorhanden/möglich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</si>
</sst>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.65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sz val="11"/>
      <color theme="1"/>
      <name val="Wingdings"/>
      <charset val="2"/>
    </font>
    <font>
      <b/>
      <sz val="14"/>
      <color rgb="FFFFFFFF"/>
      <name val="Aptos Narrow"/>
      <scheme val="minor"/>
    </font>
    <font>
      <sz val="11"/>
      <color rgb="FF1F3864"/>
      <name val="Aptos Narrow"/>
      <scheme val="minor"/>
    </font>
    <font>
      <b/>
      <sz val="11"/>
      <color rgb="FF1F3864"/>
      <name val="Aptos Narrow"/>
      <scheme val="minor"/>
    </font>
    <font>
      <b/>
      <sz val="10"/>
      <color rgb="FF1F3864"/>
      <name val="Aptos Narrow"/>
      <scheme val="minor"/>
    </font>
    <font>
      <sz val="11"/>
      <color rgb="FF000000"/>
      <name val="Aptos Narrow"/>
      <scheme val="minor"/>
    </font>
    <font>
      <sz val="11"/>
      <color rgb="FF0000FF"/>
      <name val="Aptos Narrow"/>
      <scheme val="minor"/>
    </font>
    <font>
      <i/>
      <sz val="10"/>
      <color rgb="FF808080"/>
      <name val="Aptos Narrow"/>
      <scheme val="minor"/>
    </font>
    <font>
      <b/>
      <sz val="11"/>
      <color rgb="FF000000"/>
      <name val="Aptos Narrow"/>
      <scheme val="minor"/>
    </font>
    <font>
      <sz val="11"/>
      <color rgb="FF008000"/>
      <name val="Aptos Narrow"/>
      <scheme val="minor"/>
    </font>
    <font>
      <sz val="10"/>
      <color rgb="FF000000"/>
      <name val="Aptos Narrow"/>
      <scheme val="minor"/>
    </font>
    <font>
      <sz val="11"/>
      <color rgb="FFFF8C00"/>
      <name val="Aptos Narrow"/>
      <scheme val="minor"/>
    </font>
    <font>
      <sz val="11"/>
      <color rgb="FFFF0000"/>
      <name val="Aptos Narrow"/>
      <scheme val="minor"/>
    </font>
    <font>
      <sz val="11"/>
      <color rgb="FFA6A6A6"/>
      <name val="Aptos Narrow"/>
      <scheme val="minor"/>
    </font>
    <font>
      <sz val="11"/>
      <color rgb="FFFF5D5D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1F3864"/>
      </top>
      <bottom/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/>
      <diagonal/>
    </border>
    <border>
      <left/>
      <right/>
      <top style="thin">
        <color rgb="FF1F3864"/>
      </top>
      <bottom style="medium">
        <color rgb="FF1F3864"/>
      </bottom>
      <diagonal/>
    </border>
    <border>
      <left style="thin">
        <color rgb="FF1F3864"/>
      </left>
      <right/>
      <top style="thin">
        <color rgb="FF1F3864"/>
      </top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0" xfId="0" applyFill="1"/>
    <xf numFmtId="0" fontId="0" fillId="2" borderId="19" xfId="0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 applyAlignment="1">
      <alignment horizontal="left" vertical="center"/>
    </xf>
    <xf numFmtId="0" fontId="4" fillId="0" borderId="26" xfId="0" applyFont="1" applyBorder="1"/>
    <xf numFmtId="0" fontId="0" fillId="0" borderId="22" xfId="0" applyBorder="1"/>
    <xf numFmtId="0" fontId="0" fillId="0" borderId="29" xfId="0" applyBorder="1" applyAlignment="1">
      <alignment horizontal="left"/>
    </xf>
    <xf numFmtId="0" fontId="0" fillId="0" borderId="30" xfId="0" applyBorder="1"/>
    <xf numFmtId="0" fontId="0" fillId="0" borderId="31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29" xfId="0" quotePrefix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0" fontId="3" fillId="0" borderId="33" xfId="0" applyFon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21" xfId="0" quotePrefix="1" applyNumberFormat="1" applyBorder="1" applyAlignment="1">
      <alignment horizontal="center"/>
    </xf>
    <xf numFmtId="165" fontId="0" fillId="0" borderId="31" xfId="0" quotePrefix="1" applyNumberFormat="1" applyBorder="1" applyAlignment="1">
      <alignment horizontal="center"/>
    </xf>
    <xf numFmtId="0" fontId="0" fillId="0" borderId="34" xfId="0" applyBorder="1"/>
    <xf numFmtId="0" fontId="0" fillId="0" borderId="38" xfId="0" quotePrefix="1" applyBorder="1" applyAlignment="1">
      <alignment horizontal="center"/>
    </xf>
    <xf numFmtId="165" fontId="0" fillId="0" borderId="29" xfId="0" quotePrefix="1" applyNumberFormat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right"/>
    </xf>
    <xf numFmtId="2" fontId="0" fillId="0" borderId="2" xfId="0" applyNumberFormat="1" applyBorder="1"/>
    <xf numFmtId="0" fontId="0" fillId="0" borderId="6" xfId="0" applyBorder="1" applyAlignment="1">
      <alignment horizontal="right"/>
    </xf>
    <xf numFmtId="0" fontId="0" fillId="0" borderId="7" xfId="0" applyBorder="1"/>
    <xf numFmtId="2" fontId="0" fillId="0" borderId="6" xfId="0" applyNumberFormat="1" applyBorder="1"/>
    <xf numFmtId="0" fontId="0" fillId="0" borderId="6" xfId="0" applyBorder="1"/>
    <xf numFmtId="0" fontId="4" fillId="0" borderId="0" xfId="0" applyFont="1"/>
    <xf numFmtId="0" fontId="11" fillId="3" borderId="0" xfId="0" applyFont="1" applyFill="1"/>
    <xf numFmtId="0" fontId="11" fillId="3" borderId="0" xfId="0" applyFont="1" applyFill="1" applyAlignment="1">
      <alignment horizontal="left"/>
    </xf>
    <xf numFmtId="0" fontId="0" fillId="3" borderId="0" xfId="0" applyFill="1"/>
    <xf numFmtId="0" fontId="13" fillId="4" borderId="0" xfId="0" applyFont="1" applyFill="1"/>
    <xf numFmtId="0" fontId="0" fillId="4" borderId="0" xfId="0" applyFill="1"/>
    <xf numFmtId="0" fontId="14" fillId="4" borderId="0" xfId="0" applyFont="1" applyFill="1" applyAlignment="1">
      <alignment horizontal="center"/>
    </xf>
    <xf numFmtId="0" fontId="15" fillId="0" borderId="0" xfId="0" applyFont="1"/>
    <xf numFmtId="0" fontId="15" fillId="5" borderId="41" xfId="0" applyFont="1" applyFill="1" applyBorder="1" applyAlignment="1">
      <alignment horizontal="center"/>
    </xf>
    <xf numFmtId="164" fontId="15" fillId="5" borderId="41" xfId="0" applyNumberFormat="1" applyFont="1" applyFill="1" applyBorder="1" applyAlignment="1">
      <alignment horizontal="center"/>
    </xf>
    <xf numFmtId="165" fontId="15" fillId="5" borderId="41" xfId="0" applyNumberFormat="1" applyFont="1" applyFill="1" applyBorder="1" applyAlignment="1">
      <alignment horizontal="center"/>
    </xf>
    <xf numFmtId="2" fontId="15" fillId="5" borderId="40" xfId="0" applyNumberFormat="1" applyFont="1" applyFill="1" applyBorder="1" applyAlignment="1">
      <alignment horizontal="center"/>
    </xf>
    <xf numFmtId="2" fontId="15" fillId="5" borderId="41" xfId="0" applyNumberFormat="1" applyFont="1" applyFill="1" applyBorder="1" applyAlignment="1">
      <alignment horizontal="center"/>
    </xf>
    <xf numFmtId="2" fontId="13" fillId="5" borderId="41" xfId="0" applyNumberFormat="1" applyFont="1" applyFill="1" applyBorder="1" applyAlignment="1">
      <alignment horizontal="center"/>
    </xf>
    <xf numFmtId="0" fontId="15" fillId="5" borderId="42" xfId="0" applyFont="1" applyFill="1" applyBorder="1" applyAlignment="1">
      <alignment horizontal="center"/>
    </xf>
    <xf numFmtId="164" fontId="15" fillId="5" borderId="42" xfId="0" applyNumberFormat="1" applyFont="1" applyFill="1" applyBorder="1" applyAlignment="1">
      <alignment horizontal="center"/>
    </xf>
    <xf numFmtId="165" fontId="15" fillId="5" borderId="42" xfId="0" applyNumberFormat="1" applyFont="1" applyFill="1" applyBorder="1" applyAlignment="1">
      <alignment horizontal="center"/>
    </xf>
    <xf numFmtId="2" fontId="15" fillId="5" borderId="42" xfId="0" applyNumberFormat="1" applyFont="1" applyFill="1" applyBorder="1" applyAlignment="1">
      <alignment horizontal="center"/>
    </xf>
    <xf numFmtId="2" fontId="13" fillId="5" borderId="42" xfId="0" applyNumberFormat="1" applyFont="1" applyFill="1" applyBorder="1" applyAlignment="1">
      <alignment horizontal="center"/>
    </xf>
    <xf numFmtId="0" fontId="13" fillId="6" borderId="0" xfId="0" applyFont="1" applyFill="1"/>
    <xf numFmtId="0" fontId="0" fillId="6" borderId="0" xfId="0" applyFill="1"/>
    <xf numFmtId="0" fontId="0" fillId="7" borderId="0" xfId="0" applyFill="1"/>
    <xf numFmtId="0" fontId="14" fillId="7" borderId="0" xfId="0" applyFont="1" applyFill="1"/>
    <xf numFmtId="0" fontId="14" fillId="7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3" fillId="8" borderId="0" xfId="0" applyFont="1" applyFill="1"/>
    <xf numFmtId="0" fontId="0" fillId="8" borderId="0" xfId="0" applyFill="1"/>
    <xf numFmtId="2" fontId="15" fillId="0" borderId="0" xfId="0" applyNumberFormat="1" applyFont="1" applyAlignment="1">
      <alignment horizontal="center"/>
    </xf>
    <xf numFmtId="0" fontId="18" fillId="2" borderId="19" xfId="0" applyFont="1" applyFill="1" applyBorder="1"/>
    <xf numFmtId="0" fontId="17" fillId="2" borderId="19" xfId="0" applyFont="1" applyFill="1" applyBorder="1" applyAlignment="1">
      <alignment horizontal="center"/>
    </xf>
    <xf numFmtId="2" fontId="18" fillId="0" borderId="19" xfId="0" applyNumberFormat="1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2" borderId="0" xfId="0" applyFont="1" applyFill="1"/>
    <xf numFmtId="0" fontId="18" fillId="2" borderId="0" xfId="0" applyFont="1" applyFill="1"/>
    <xf numFmtId="0" fontId="17" fillId="2" borderId="0" xfId="0" applyFont="1" applyFill="1" applyAlignment="1">
      <alignment horizontal="center"/>
    </xf>
    <xf numFmtId="0" fontId="18" fillId="0" borderId="0" xfId="0" applyFont="1"/>
    <xf numFmtId="2" fontId="18" fillId="0" borderId="0" xfId="0" applyNumberFormat="1" applyFont="1" applyAlignment="1">
      <alignment horizontal="center"/>
    </xf>
    <xf numFmtId="0" fontId="13" fillId="2" borderId="0" xfId="0" applyFont="1" applyFill="1"/>
    <xf numFmtId="2" fontId="13" fillId="0" borderId="39" xfId="0" applyNumberFormat="1" applyFont="1" applyBorder="1" applyAlignment="1">
      <alignment horizontal="center"/>
    </xf>
    <xf numFmtId="2" fontId="13" fillId="0" borderId="43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6" fontId="13" fillId="0" borderId="43" xfId="0" applyNumberFormat="1" applyFont="1" applyBorder="1" applyAlignment="1">
      <alignment horizontal="center"/>
    </xf>
    <xf numFmtId="0" fontId="13" fillId="9" borderId="0" xfId="0" applyFont="1" applyFill="1"/>
    <xf numFmtId="0" fontId="0" fillId="9" borderId="0" xfId="0" applyFill="1"/>
    <xf numFmtId="0" fontId="19" fillId="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4" fillId="7" borderId="19" xfId="0" applyFont="1" applyFill="1" applyBorder="1"/>
    <xf numFmtId="0" fontId="0" fillId="7" borderId="19" xfId="0" applyFill="1" applyBorder="1"/>
    <xf numFmtId="0" fontId="14" fillId="7" borderId="19" xfId="0" applyFont="1" applyFill="1" applyBorder="1" applyAlignment="1">
      <alignment horizontal="center"/>
    </xf>
    <xf numFmtId="0" fontId="23" fillId="2" borderId="0" xfId="0" applyFont="1" applyFill="1"/>
    <xf numFmtId="2" fontId="15" fillId="5" borderId="44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3" fillId="8" borderId="18" xfId="0" applyFont="1" applyFill="1" applyBorder="1"/>
    <xf numFmtId="0" fontId="0" fillId="8" borderId="19" xfId="0" applyFill="1" applyBorder="1"/>
    <xf numFmtId="0" fontId="22" fillId="0" borderId="0" xfId="0" applyFont="1"/>
    <xf numFmtId="0" fontId="22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1" xfId="0" applyBorder="1" applyAlignment="1">
      <alignment horizont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0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32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5" fontId="0" fillId="0" borderId="29" xfId="0" applyNumberFormat="1" applyBorder="1" applyAlignment="1">
      <alignment horizontal="center" vertical="top"/>
    </xf>
    <xf numFmtId="0" fontId="0" fillId="0" borderId="11" xfId="0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0" xfId="0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5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2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0" fillId="0" borderId="11" xfId="0" applyFont="1" applyBorder="1" applyAlignment="1">
      <alignment horizontal="left"/>
    </xf>
    <xf numFmtId="0" fontId="0" fillId="0" borderId="23" xfId="0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2F7697-D316-4106-A720-0C534ECF7713}">
  <we:reference id="wa200009404" version="1.0.0.5" store="de-DE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AE28-C337-4351-9262-450BE706BE58}">
  <dimension ref="A1:O52"/>
  <sheetViews>
    <sheetView tabSelected="1" zoomScale="85" zoomScaleNormal="85" workbookViewId="0"/>
  </sheetViews>
  <sheetFormatPr baseColWidth="10" defaultColWidth="11.44140625" defaultRowHeight="14.4" outlineLevelCol="1" x14ac:dyDescent="0.3"/>
  <cols>
    <col min="1" max="1" width="2.77734375" customWidth="1"/>
    <col min="2" max="2" width="37" style="16" customWidth="1" outlineLevel="1"/>
    <col min="3" max="3" width="1.88671875" style="16" customWidth="1" outlineLevel="1"/>
    <col min="4" max="4" width="14.77734375" style="16" customWidth="1" outlineLevel="1"/>
    <col min="5" max="5" width="11.109375" style="16" customWidth="1" outlineLevel="1"/>
    <col min="6" max="6" width="1.88671875" customWidth="1" outlineLevel="1"/>
    <col min="7" max="7" width="33.33203125" customWidth="1" outlineLevel="1"/>
    <col min="8" max="8" width="1.88671875" customWidth="1" outlineLevel="1"/>
    <col min="9" max="9" width="33.33203125" customWidth="1" outlineLevel="1"/>
    <col min="10" max="10" width="11.109375" customWidth="1" outlineLevel="1"/>
    <col min="11" max="15" width="1.88671875" customWidth="1" outlineLevel="1"/>
  </cols>
  <sheetData>
    <row r="1" spans="1:15" ht="18" x14ac:dyDescent="0.35">
      <c r="A1" s="67" t="s">
        <v>212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5" customHeight="1" x14ac:dyDescent="0.3">
      <c r="B2"/>
      <c r="C2"/>
      <c r="D2"/>
      <c r="E2"/>
    </row>
    <row r="3" spans="1:15" ht="32.25" customHeight="1" x14ac:dyDescent="0.3">
      <c r="A3" s="69" t="s">
        <v>213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4" spans="1:15" x14ac:dyDescent="0.3">
      <c r="A4" s="70"/>
      <c r="B4" s="71" t="s">
        <v>63</v>
      </c>
      <c r="C4" s="70"/>
      <c r="D4" s="71" t="s">
        <v>13</v>
      </c>
      <c r="E4" s="70"/>
      <c r="F4" s="71" t="s">
        <v>16</v>
      </c>
      <c r="G4" s="70"/>
      <c r="H4" s="71" t="s">
        <v>214</v>
      </c>
      <c r="I4" s="70"/>
      <c r="J4" s="71" t="s">
        <v>215</v>
      </c>
      <c r="K4" s="70"/>
      <c r="L4" s="71" t="s">
        <v>216</v>
      </c>
      <c r="M4" s="70"/>
      <c r="N4" s="71" t="s">
        <v>217</v>
      </c>
      <c r="O4" s="70"/>
    </row>
    <row r="5" spans="1:15" x14ac:dyDescent="0.3">
      <c r="A5" s="70"/>
      <c r="B5" s="79" t="s">
        <v>3</v>
      </c>
      <c r="C5" s="70"/>
      <c r="D5" s="80">
        <f>D14</f>
        <v>90.5</v>
      </c>
      <c r="E5" s="70"/>
      <c r="F5" s="81">
        <f>D16</f>
        <v>0.2535</v>
      </c>
      <c r="G5" s="70"/>
      <c r="H5" s="82">
        <f>D17</f>
        <v>1</v>
      </c>
      <c r="I5" s="70"/>
      <c r="J5" s="83">
        <f>I34</f>
        <v>22.941749999999999</v>
      </c>
      <c r="K5" s="70"/>
      <c r="M5" s="70"/>
      <c r="O5" s="70"/>
    </row>
    <row r="6" spans="1:15" ht="15" customHeight="1" x14ac:dyDescent="0.3">
      <c r="A6" s="70"/>
      <c r="B6" s="73" t="s">
        <v>18</v>
      </c>
      <c r="C6" s="70"/>
      <c r="D6" s="74">
        <f>D21</f>
        <v>9.5</v>
      </c>
      <c r="E6" s="70"/>
      <c r="F6" s="75">
        <f>D22</f>
        <v>2</v>
      </c>
      <c r="G6" s="70"/>
      <c r="H6" s="77">
        <f>D23</f>
        <v>0.93</v>
      </c>
      <c r="I6" s="70"/>
      <c r="J6" s="78">
        <f>I35</f>
        <v>17.670000000000002</v>
      </c>
      <c r="K6" s="70"/>
      <c r="L6" s="74">
        <f>I38</f>
        <v>0.1</v>
      </c>
      <c r="M6" s="70"/>
      <c r="N6" s="74">
        <f>I39</f>
        <v>100</v>
      </c>
      <c r="O6" s="70"/>
    </row>
    <row r="7" spans="1:15" ht="15" customHeight="1" x14ac:dyDescent="0.3">
      <c r="B7"/>
      <c r="C7"/>
      <c r="D7"/>
      <c r="E7"/>
    </row>
    <row r="8" spans="1:15" ht="19.5" customHeight="1" x14ac:dyDescent="0.3">
      <c r="A8" s="84" t="s">
        <v>218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</row>
    <row r="9" spans="1:15" ht="19.5" customHeight="1" x14ac:dyDescent="0.3">
      <c r="A9" s="86"/>
      <c r="B9" s="87" t="s">
        <v>219</v>
      </c>
      <c r="C9" s="86"/>
      <c r="D9" s="88" t="s">
        <v>220</v>
      </c>
      <c r="E9" s="88" t="s">
        <v>221</v>
      </c>
      <c r="F9" s="86"/>
      <c r="G9" s="88" t="s">
        <v>0</v>
      </c>
      <c r="H9" s="86"/>
      <c r="I9" s="88" t="s">
        <v>1</v>
      </c>
      <c r="J9" s="86"/>
      <c r="K9" s="86"/>
      <c r="L9" s="86"/>
      <c r="M9" s="86"/>
      <c r="N9" s="86"/>
      <c r="O9" s="86"/>
    </row>
    <row r="10" spans="1:15" ht="19.5" customHeight="1" x14ac:dyDescent="0.3">
      <c r="B10" s="72" t="s">
        <v>222</v>
      </c>
      <c r="C10"/>
      <c r="D10"/>
      <c r="E10"/>
      <c r="G10" s="89" t="s">
        <v>223</v>
      </c>
      <c r="I10" s="89" t="s">
        <v>223</v>
      </c>
    </row>
    <row r="11" spans="1:15" ht="19.5" customHeight="1" x14ac:dyDescent="0.3">
      <c r="B11" s="72" t="s">
        <v>4</v>
      </c>
      <c r="C11"/>
      <c r="D11"/>
      <c r="E11"/>
      <c r="G11" s="89" t="s">
        <v>224</v>
      </c>
      <c r="I11" s="89" t="s">
        <v>224</v>
      </c>
    </row>
    <row r="12" spans="1:15" ht="19.5" customHeight="1" x14ac:dyDescent="0.3">
      <c r="B12" s="72" t="s">
        <v>64</v>
      </c>
      <c r="C12"/>
      <c r="D12"/>
      <c r="E12"/>
      <c r="G12" s="89" t="str">
        <f>'Kat. 1 U-Wert'!B6</f>
        <v>Massive Konstruktion</v>
      </c>
      <c r="I12" s="89" t="str">
        <f>'Kat. 1 U-Wert'!B7</f>
        <v>Holzkonstruktion</v>
      </c>
    </row>
    <row r="13" spans="1:15" ht="19.5" customHeight="1" x14ac:dyDescent="0.3">
      <c r="B13" s="72" t="s">
        <v>225</v>
      </c>
      <c r="C13"/>
      <c r="D13" s="91">
        <v>100</v>
      </c>
      <c r="E13" s="89" t="s">
        <v>226</v>
      </c>
      <c r="G13" s="89" t="s">
        <v>227</v>
      </c>
      <c r="I13" s="89" t="s">
        <v>15</v>
      </c>
    </row>
    <row r="14" spans="1:15" ht="19.5" customHeight="1" x14ac:dyDescent="0.3">
      <c r="B14" s="72" t="s">
        <v>228</v>
      </c>
      <c r="C14"/>
      <c r="D14" s="92">
        <f>D13-D21</f>
        <v>90.5</v>
      </c>
      <c r="E14" s="89" t="s">
        <v>226</v>
      </c>
      <c r="G14" s="95" t="s">
        <v>284</v>
      </c>
    </row>
    <row r="15" spans="1:15" ht="19.5" customHeight="1" x14ac:dyDescent="0.3">
      <c r="B15" s="72" t="s">
        <v>229</v>
      </c>
      <c r="C15"/>
      <c r="D15" s="93">
        <f>I31</f>
        <v>0.19500000000000001</v>
      </c>
      <c r="E15" s="89" t="s">
        <v>230</v>
      </c>
      <c r="G15" s="89" t="s">
        <v>231</v>
      </c>
      <c r="I15" s="89" t="s">
        <v>232</v>
      </c>
    </row>
    <row r="16" spans="1:15" ht="19.5" customHeight="1" x14ac:dyDescent="0.3">
      <c r="B16" s="72" t="s">
        <v>233</v>
      </c>
      <c r="C16"/>
      <c r="D16" s="93">
        <f>D15*D18</f>
        <v>0.2535</v>
      </c>
      <c r="E16" s="89" t="s">
        <v>230</v>
      </c>
      <c r="G16" s="95" t="s">
        <v>283</v>
      </c>
    </row>
    <row r="17" spans="1:15" ht="19.5" customHeight="1" x14ac:dyDescent="0.3">
      <c r="B17" s="72" t="s">
        <v>214</v>
      </c>
      <c r="C17"/>
      <c r="D17" s="96">
        <v>1</v>
      </c>
      <c r="E17"/>
    </row>
    <row r="18" spans="1:15" ht="19.5" customHeight="1" x14ac:dyDescent="0.3">
      <c r="B18" s="72" t="s">
        <v>17</v>
      </c>
      <c r="C18"/>
      <c r="D18" s="91">
        <v>1.3</v>
      </c>
      <c r="E18"/>
      <c r="G18" s="95" t="s">
        <v>234</v>
      </c>
    </row>
    <row r="19" spans="1:15" ht="19.5" customHeight="1" x14ac:dyDescent="0.3">
      <c r="B19"/>
      <c r="C19"/>
      <c r="D19"/>
      <c r="E19"/>
    </row>
    <row r="20" spans="1:15" ht="19.5" customHeight="1" x14ac:dyDescent="0.3">
      <c r="A20" s="84" t="s">
        <v>235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</row>
    <row r="21" spans="1:15" ht="19.5" customHeight="1" x14ac:dyDescent="0.3">
      <c r="B21" s="72" t="s">
        <v>236</v>
      </c>
      <c r="C21"/>
      <c r="D21" s="91">
        <v>9.5</v>
      </c>
      <c r="E21" s="89" t="s">
        <v>226</v>
      </c>
      <c r="G21" s="89" t="s">
        <v>14</v>
      </c>
      <c r="I21" s="89" t="s">
        <v>15</v>
      </c>
    </row>
    <row r="22" spans="1:15" ht="19.5" customHeight="1" x14ac:dyDescent="0.3">
      <c r="B22" s="72" t="s">
        <v>237</v>
      </c>
      <c r="C22"/>
      <c r="D22" s="91">
        <v>2</v>
      </c>
      <c r="E22" s="89" t="s">
        <v>230</v>
      </c>
      <c r="G22" s="89" t="s">
        <v>231</v>
      </c>
      <c r="I22" s="89" t="s">
        <v>19</v>
      </c>
    </row>
    <row r="23" spans="1:15" x14ac:dyDescent="0.3">
      <c r="B23" s="72" t="s">
        <v>214</v>
      </c>
      <c r="C23"/>
      <c r="D23" s="96">
        <v>0.93</v>
      </c>
      <c r="E23"/>
    </row>
    <row r="24" spans="1:15" x14ac:dyDescent="0.3">
      <c r="B24" s="72" t="s">
        <v>238</v>
      </c>
      <c r="C24"/>
      <c r="D24"/>
      <c r="E24"/>
      <c r="G24" s="89" t="str">
        <f>'Kat. 1 U-Wert'!B37</f>
        <v>Holzfenster, zwei Scheiben</v>
      </c>
      <c r="I24" s="94" t="s">
        <v>239</v>
      </c>
    </row>
    <row r="25" spans="1:15" x14ac:dyDescent="0.3">
      <c r="B25" s="72"/>
      <c r="C25"/>
      <c r="D25"/>
      <c r="E25"/>
      <c r="G25" s="89" t="str">
        <f>'Kat. 1 U-Wert'!B39</f>
        <v>Kunststofffenster, Isolierverglasung</v>
      </c>
      <c r="I25" s="94" t="s">
        <v>240</v>
      </c>
    </row>
    <row r="26" spans="1:15" ht="46.5" customHeight="1" x14ac:dyDescent="0.3">
      <c r="B26"/>
      <c r="C26"/>
      <c r="D26"/>
      <c r="E26"/>
    </row>
    <row r="27" spans="1:15" ht="60" customHeight="1" x14ac:dyDescent="0.3">
      <c r="A27" s="97" t="s">
        <v>241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</row>
    <row r="28" spans="1:15" ht="51" customHeight="1" x14ac:dyDescent="0.3">
      <c r="A28" s="86"/>
      <c r="B28" s="87" t="s">
        <v>242</v>
      </c>
      <c r="C28" s="86"/>
      <c r="D28" s="88" t="s">
        <v>243</v>
      </c>
      <c r="E28" s="86"/>
      <c r="F28" s="86"/>
      <c r="G28" s="86"/>
      <c r="H28" s="86"/>
      <c r="I28" s="88" t="s">
        <v>244</v>
      </c>
      <c r="J28" s="88" t="s">
        <v>221</v>
      </c>
      <c r="K28" s="86"/>
      <c r="L28" s="86"/>
      <c r="M28" s="86"/>
      <c r="N28" s="86"/>
      <c r="O28" s="86"/>
    </row>
    <row r="29" spans="1:15" x14ac:dyDescent="0.3">
      <c r="B29" s="72" t="s">
        <v>245</v>
      </c>
      <c r="C29"/>
      <c r="D29" s="95" t="s">
        <v>246</v>
      </c>
      <c r="E29"/>
      <c r="I29" s="99">
        <f>'Kat. 1 U-Wert'!C48+(0.2/0.04)+'Kat. 1 U-Wert'!C49</f>
        <v>5.14</v>
      </c>
      <c r="J29" s="89" t="s">
        <v>247</v>
      </c>
    </row>
    <row r="30" spans="1:15" x14ac:dyDescent="0.3">
      <c r="B30" s="72" t="s">
        <v>248</v>
      </c>
      <c r="C30"/>
      <c r="D30" s="95" t="s">
        <v>246</v>
      </c>
      <c r="E30"/>
      <c r="I30" s="99">
        <f>'Kat. 1 U-Wert'!C48+(0.2/0.04+0.25/2.3)+'Kat. 1 U-Wert'!C49</f>
        <v>5.2486956521739128</v>
      </c>
      <c r="J30" s="89" t="s">
        <v>247</v>
      </c>
    </row>
    <row r="31" spans="1:15" ht="49.5" customHeight="1" x14ac:dyDescent="0.3">
      <c r="B31" s="72" t="s">
        <v>249</v>
      </c>
      <c r="C31"/>
      <c r="D31" s="95" t="s">
        <v>250</v>
      </c>
      <c r="E31"/>
      <c r="I31" s="93">
        <f>ROUND(1/I29,3)</f>
        <v>0.19500000000000001</v>
      </c>
      <c r="J31" s="89" t="s">
        <v>230</v>
      </c>
    </row>
    <row r="32" spans="1:15" ht="57" customHeight="1" x14ac:dyDescent="0.3">
      <c r="B32" s="72" t="s">
        <v>251</v>
      </c>
      <c r="C32"/>
      <c r="D32" s="95" t="s">
        <v>250</v>
      </c>
      <c r="E32"/>
      <c r="I32" s="93">
        <f>ROUND(1/I30,3)</f>
        <v>0.191</v>
      </c>
      <c r="J32" s="89" t="s">
        <v>230</v>
      </c>
    </row>
    <row r="33" spans="1:15" x14ac:dyDescent="0.3">
      <c r="B33"/>
      <c r="C33"/>
      <c r="D33"/>
      <c r="E33"/>
    </row>
    <row r="34" spans="1:15" ht="15" thickBot="1" x14ac:dyDescent="0.35">
      <c r="A34" s="13"/>
      <c r="B34" s="100" t="s">
        <v>252</v>
      </c>
      <c r="C34" s="17"/>
      <c r="D34" s="101" t="s">
        <v>253</v>
      </c>
      <c r="E34" s="17"/>
      <c r="F34" s="14"/>
      <c r="G34" s="14"/>
      <c r="H34" s="14"/>
      <c r="I34" s="102">
        <f>D17*D16*D14</f>
        <v>22.941749999999999</v>
      </c>
      <c r="J34" s="103" t="s">
        <v>254</v>
      </c>
      <c r="K34" s="14"/>
      <c r="L34" s="14"/>
      <c r="M34" s="14"/>
      <c r="N34" s="14"/>
      <c r="O34" s="14"/>
    </row>
    <row r="35" spans="1:15" x14ac:dyDescent="0.3">
      <c r="B35" s="105" t="s">
        <v>255</v>
      </c>
      <c r="D35" s="106" t="s">
        <v>253</v>
      </c>
      <c r="I35" s="108">
        <f>D23*D22*D21</f>
        <v>17.670000000000002</v>
      </c>
      <c r="J35" s="89" t="s">
        <v>254</v>
      </c>
    </row>
    <row r="36" spans="1:15" ht="15" thickBot="1" x14ac:dyDescent="0.35">
      <c r="B36" s="109" t="s">
        <v>256</v>
      </c>
      <c r="D36" s="106" t="s">
        <v>257</v>
      </c>
      <c r="I36" s="111">
        <f>I34+I35</f>
        <v>40.611750000000001</v>
      </c>
      <c r="J36" s="112" t="s">
        <v>254</v>
      </c>
    </row>
    <row r="38" spans="1:15" x14ac:dyDescent="0.3">
      <c r="B38" s="104" t="s">
        <v>258</v>
      </c>
      <c r="D38" s="106" t="s">
        <v>12</v>
      </c>
      <c r="I38" s="91">
        <v>0.1</v>
      </c>
      <c r="J38" s="89" t="s">
        <v>230</v>
      </c>
    </row>
    <row r="39" spans="1:15" x14ac:dyDescent="0.3">
      <c r="B39" s="104" t="s">
        <v>259</v>
      </c>
      <c r="D39" s="106" t="s">
        <v>260</v>
      </c>
      <c r="I39" s="92">
        <f>D14+D21</f>
        <v>100</v>
      </c>
      <c r="J39" s="89" t="s">
        <v>226</v>
      </c>
    </row>
    <row r="40" spans="1:15" x14ac:dyDescent="0.3">
      <c r="B40" s="109" t="s">
        <v>261</v>
      </c>
      <c r="D40" s="106" t="s">
        <v>262</v>
      </c>
      <c r="I40" s="110">
        <f>I36+(I38*I39)</f>
        <v>50.611750000000001</v>
      </c>
      <c r="J40" s="112" t="s">
        <v>254</v>
      </c>
    </row>
    <row r="41" spans="1:15" ht="15" thickBot="1" x14ac:dyDescent="0.35">
      <c r="B41" s="109" t="s">
        <v>263</v>
      </c>
      <c r="D41" s="106" t="s">
        <v>264</v>
      </c>
      <c r="I41" s="113">
        <f>I40/I39</f>
        <v>0.5061175</v>
      </c>
      <c r="J41" s="112" t="s">
        <v>230</v>
      </c>
    </row>
    <row r="43" spans="1:15" x14ac:dyDescent="0.3">
      <c r="A43" s="114" t="s">
        <v>265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</row>
    <row r="44" spans="1:15" x14ac:dyDescent="0.3">
      <c r="A44" s="86"/>
      <c r="B44" s="87" t="s">
        <v>266</v>
      </c>
      <c r="C44" s="86"/>
      <c r="D44" s="88" t="s">
        <v>267</v>
      </c>
      <c r="E44" s="86"/>
      <c r="F44" s="88" t="s">
        <v>268</v>
      </c>
      <c r="G44" s="86"/>
      <c r="H44" s="88" t="s">
        <v>269</v>
      </c>
      <c r="I44" s="86"/>
    </row>
    <row r="45" spans="1:15" x14ac:dyDescent="0.3">
      <c r="B45" s="109" t="s">
        <v>22</v>
      </c>
      <c r="H45" s="94" t="s">
        <v>270</v>
      </c>
    </row>
    <row r="46" spans="1:15" x14ac:dyDescent="0.3">
      <c r="B46" s="104" t="s">
        <v>271</v>
      </c>
      <c r="D46" s="116" t="s">
        <v>27</v>
      </c>
      <c r="F46" s="89" t="s">
        <v>272</v>
      </c>
      <c r="H46" s="117" t="s">
        <v>273</v>
      </c>
    </row>
    <row r="47" spans="1:15" x14ac:dyDescent="0.3">
      <c r="B47" s="104" t="s">
        <v>274</v>
      </c>
      <c r="D47" s="118" t="s">
        <v>28</v>
      </c>
      <c r="F47" s="89" t="s">
        <v>275</v>
      </c>
      <c r="H47" s="117" t="s">
        <v>276</v>
      </c>
    </row>
    <row r="48" spans="1:15" x14ac:dyDescent="0.3">
      <c r="B48" s="104" t="s">
        <v>277</v>
      </c>
      <c r="D48" s="119" t="s">
        <v>29</v>
      </c>
      <c r="F48" s="89" t="s">
        <v>275</v>
      </c>
      <c r="H48" s="117" t="s">
        <v>276</v>
      </c>
    </row>
    <row r="50" spans="2:8" x14ac:dyDescent="0.3">
      <c r="B50" s="109" t="s">
        <v>24</v>
      </c>
      <c r="H50" s="95" t="s">
        <v>278</v>
      </c>
    </row>
    <row r="51" spans="2:8" x14ac:dyDescent="0.3">
      <c r="B51" s="104" t="s">
        <v>279</v>
      </c>
      <c r="D51" s="116" t="s">
        <v>27</v>
      </c>
      <c r="F51" s="89" t="s">
        <v>272</v>
      </c>
      <c r="H51" s="117" t="s">
        <v>273</v>
      </c>
    </row>
    <row r="52" spans="2:8" x14ac:dyDescent="0.3">
      <c r="B52" s="104" t="s">
        <v>280</v>
      </c>
      <c r="D52" s="119" t="s">
        <v>30</v>
      </c>
      <c r="F52" s="89" t="s">
        <v>281</v>
      </c>
      <c r="H52" s="117" t="s">
        <v>282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3157-1B96-4AAA-A21D-378F8DBD58C3}">
  <dimension ref="A1:P29"/>
  <sheetViews>
    <sheetView zoomScale="85" zoomScaleNormal="85" workbookViewId="0"/>
  </sheetViews>
  <sheetFormatPr baseColWidth="10" defaultColWidth="11.44140625" defaultRowHeight="14.4" outlineLevelCol="1" x14ac:dyDescent="0.3"/>
  <cols>
    <col min="1" max="1" width="2.77734375" customWidth="1"/>
    <col min="2" max="2" width="37" style="16" customWidth="1" outlineLevel="1"/>
    <col min="3" max="3" width="1.88671875" style="16" customWidth="1" outlineLevel="1"/>
    <col min="4" max="4" width="14.77734375" style="16" customWidth="1" outlineLevel="1"/>
    <col min="5" max="5" width="11.109375" style="16" customWidth="1" outlineLevel="1"/>
    <col min="6" max="6" width="1.88671875" customWidth="1" outlineLevel="1"/>
    <col min="7" max="7" width="33.33203125" customWidth="1" outlineLevel="1"/>
    <col min="8" max="8" width="1.88671875" customWidth="1" outlineLevel="1"/>
    <col min="9" max="9" width="33.33203125" customWidth="1" outlineLevel="1"/>
    <col min="10" max="10" width="11.109375" customWidth="1" outlineLevel="1"/>
    <col min="11" max="11" width="2.88671875" customWidth="1" outlineLevel="1"/>
    <col min="12" max="12" width="5.6640625" customWidth="1" outlineLevel="1"/>
    <col min="13" max="13" width="2.33203125" customWidth="1" outlineLevel="1"/>
    <col min="14" max="14" width="4.33203125" customWidth="1" outlineLevel="1"/>
    <col min="15" max="15" width="6.33203125" customWidth="1" outlineLevel="1"/>
    <col min="16" max="16" width="19.5546875" customWidth="1"/>
  </cols>
  <sheetData>
    <row r="1" spans="1:16" ht="18" x14ac:dyDescent="0.35">
      <c r="A1" s="66" t="s">
        <v>285</v>
      </c>
      <c r="B1" s="68"/>
      <c r="C1" s="68"/>
      <c r="D1" s="68"/>
      <c r="E1" s="68"/>
      <c r="F1" s="68"/>
      <c r="G1" s="68"/>
      <c r="H1" s="68"/>
      <c r="I1" s="68"/>
      <c r="J1" s="68"/>
    </row>
    <row r="2" spans="1:16" x14ac:dyDescent="0.3">
      <c r="B2"/>
      <c r="C2"/>
      <c r="D2"/>
      <c r="E2"/>
    </row>
    <row r="3" spans="1:16" ht="25.5" customHeight="1" x14ac:dyDescent="0.3">
      <c r="A3" s="69" t="s">
        <v>213</v>
      </c>
      <c r="B3" s="70"/>
      <c r="C3" s="70"/>
      <c r="D3" s="70"/>
      <c r="E3" s="70"/>
      <c r="F3" s="70"/>
      <c r="G3" s="70"/>
      <c r="H3" s="70"/>
      <c r="I3" s="70"/>
      <c r="J3" s="70"/>
    </row>
    <row r="4" spans="1:16" ht="19.5" customHeight="1" x14ac:dyDescent="0.3">
      <c r="A4" s="70"/>
      <c r="B4" s="71" t="s">
        <v>63</v>
      </c>
      <c r="C4" s="70"/>
      <c r="D4" s="71" t="s">
        <v>13</v>
      </c>
      <c r="E4" s="70"/>
      <c r="F4" s="71" t="s">
        <v>16</v>
      </c>
      <c r="G4" s="70"/>
      <c r="H4" s="71" t="s">
        <v>214</v>
      </c>
      <c r="I4" s="71" t="s">
        <v>215</v>
      </c>
      <c r="J4" s="70"/>
    </row>
    <row r="5" spans="1:16" ht="18.75" customHeight="1" x14ac:dyDescent="0.3">
      <c r="A5" s="70"/>
      <c r="B5" s="73" t="s">
        <v>31</v>
      </c>
      <c r="C5" s="70"/>
      <c r="D5" s="74">
        <f>D10</f>
        <v>0</v>
      </c>
      <c r="E5" s="70"/>
      <c r="F5" s="75">
        <f>D11</f>
        <v>0</v>
      </c>
      <c r="G5" s="70"/>
      <c r="H5" s="76">
        <f>D13</f>
        <v>0</v>
      </c>
      <c r="I5" s="78">
        <f>I20</f>
        <v>0</v>
      </c>
      <c r="J5" s="70"/>
    </row>
    <row r="6" spans="1:16" ht="18" customHeight="1" x14ac:dyDescent="0.3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6" ht="18" customHeight="1" x14ac:dyDescent="0.3">
      <c r="B7"/>
      <c r="C7"/>
      <c r="D7"/>
      <c r="E7"/>
    </row>
    <row r="8" spans="1:16" ht="18" customHeight="1" x14ac:dyDescent="0.3">
      <c r="A8" s="84" t="s">
        <v>286</v>
      </c>
      <c r="B8" s="85"/>
      <c r="C8" s="85"/>
      <c r="D8" s="85"/>
      <c r="E8" s="85"/>
      <c r="F8" s="85"/>
      <c r="G8" s="85"/>
      <c r="H8" s="85"/>
      <c r="I8" s="85"/>
      <c r="J8" s="85"/>
    </row>
    <row r="9" spans="1:16" x14ac:dyDescent="0.3">
      <c r="B9" s="87" t="s">
        <v>219</v>
      </c>
      <c r="C9" s="86"/>
      <c r="D9" s="88" t="s">
        <v>220</v>
      </c>
      <c r="E9" s="88" t="s">
        <v>221</v>
      </c>
      <c r="F9" s="86"/>
      <c r="G9" s="88" t="s">
        <v>0</v>
      </c>
      <c r="H9" s="86"/>
      <c r="I9" s="88" t="s">
        <v>1</v>
      </c>
    </row>
    <row r="10" spans="1:16" x14ac:dyDescent="0.3">
      <c r="B10" s="72" t="s">
        <v>222</v>
      </c>
      <c r="C10"/>
      <c r="D10"/>
      <c r="E10"/>
      <c r="G10" s="89" t="s">
        <v>223</v>
      </c>
      <c r="I10" s="89" t="s">
        <v>223</v>
      </c>
    </row>
    <row r="11" spans="1:16" ht="15" thickBot="1" x14ac:dyDescent="0.35">
      <c r="B11" s="72" t="s">
        <v>287</v>
      </c>
      <c r="C11"/>
      <c r="D11" s="91"/>
      <c r="E11" s="89" t="s">
        <v>226</v>
      </c>
      <c r="G11" s="89" t="s">
        <v>288</v>
      </c>
      <c r="I11" s="89" t="s">
        <v>15</v>
      </c>
    </row>
    <row r="12" spans="1:16" x14ac:dyDescent="0.3">
      <c r="B12" s="72" t="s">
        <v>5</v>
      </c>
      <c r="C12"/>
      <c r="D12" s="93"/>
      <c r="E12" s="89" t="s">
        <v>230</v>
      </c>
      <c r="G12" s="89" t="s">
        <v>231</v>
      </c>
      <c r="I12" s="89" t="s">
        <v>232</v>
      </c>
      <c r="P12" s="10"/>
    </row>
    <row r="13" spans="1:16" ht="15.75" customHeight="1" x14ac:dyDescent="0.3">
      <c r="B13" s="72" t="s">
        <v>64</v>
      </c>
      <c r="C13"/>
      <c r="D13"/>
      <c r="E13"/>
      <c r="G13" s="89" t="str">
        <f>'Kat. 1 U-Wert'!B9</f>
        <v>Massive Decke</v>
      </c>
      <c r="I13" s="89" t="str">
        <f>'Kat. 1 U-Wert'!B9</f>
        <v>Massive Decke</v>
      </c>
      <c r="P13" s="12"/>
    </row>
    <row r="14" spans="1:16" ht="48.75" customHeight="1" x14ac:dyDescent="0.3">
      <c r="B14" s="72"/>
      <c r="C14"/>
      <c r="D14"/>
      <c r="E14"/>
      <c r="G14" s="89" t="str">
        <f>'Kat. 1 U-Wert'!B10</f>
        <v>Holzbalkendecke</v>
      </c>
      <c r="I14" s="89" t="str">
        <f>'Kat. 1 U-Wert'!B10</f>
        <v>Holzbalkendecke</v>
      </c>
      <c r="P14" s="12"/>
    </row>
    <row r="15" spans="1:16" ht="51" customHeight="1" x14ac:dyDescent="0.3">
      <c r="B15" s="72" t="s">
        <v>214</v>
      </c>
      <c r="C15"/>
      <c r="D15" s="96"/>
      <c r="E15"/>
      <c r="I15" s="89" t="s">
        <v>289</v>
      </c>
      <c r="P15" s="12"/>
    </row>
    <row r="16" spans="1:16" ht="51" customHeight="1" x14ac:dyDescent="0.3">
      <c r="B16"/>
      <c r="C16"/>
      <c r="D16"/>
      <c r="E16"/>
      <c r="P16" s="12"/>
    </row>
    <row r="17" spans="1:16" ht="16.5" customHeight="1" x14ac:dyDescent="0.3">
      <c r="A17" s="97" t="s">
        <v>241</v>
      </c>
      <c r="B17" s="98"/>
      <c r="C17" s="98"/>
      <c r="D17" s="98"/>
      <c r="E17" s="98"/>
      <c r="F17" s="98"/>
      <c r="G17" s="98"/>
      <c r="H17" s="98"/>
      <c r="I17" s="98"/>
      <c r="J17" s="98"/>
      <c r="P17" s="12"/>
    </row>
    <row r="18" spans="1:16" ht="15" thickBot="1" x14ac:dyDescent="0.35">
      <c r="A18" s="13"/>
      <c r="B18" s="120" t="s">
        <v>242</v>
      </c>
      <c r="C18" s="121"/>
      <c r="D18" s="122" t="s">
        <v>243</v>
      </c>
      <c r="E18" s="121"/>
      <c r="F18" s="121"/>
      <c r="G18" s="121"/>
      <c r="H18" s="121"/>
      <c r="I18" s="122" t="s">
        <v>244</v>
      </c>
      <c r="J18" s="122" t="s">
        <v>221</v>
      </c>
      <c r="K18" s="14"/>
      <c r="L18" s="14"/>
      <c r="M18" s="14"/>
      <c r="N18" s="14"/>
      <c r="O18" s="14"/>
      <c r="P18" s="15"/>
    </row>
    <row r="19" spans="1:16" x14ac:dyDescent="0.3">
      <c r="B19" s="105" t="s">
        <v>290</v>
      </c>
      <c r="D19" s="106" t="s">
        <v>253</v>
      </c>
      <c r="I19" s="108">
        <f>D13*D11*D10</f>
        <v>0</v>
      </c>
      <c r="J19" s="89" t="s">
        <v>254</v>
      </c>
    </row>
    <row r="20" spans="1:16" ht="15" thickBot="1" x14ac:dyDescent="0.35">
      <c r="B20" s="109" t="s">
        <v>291</v>
      </c>
      <c r="D20" s="106" t="s">
        <v>292</v>
      </c>
      <c r="I20" s="111">
        <f>I19</f>
        <v>0</v>
      </c>
      <c r="J20" s="112" t="s">
        <v>254</v>
      </c>
    </row>
    <row r="22" spans="1:16" x14ac:dyDescent="0.3">
      <c r="A22" s="114" t="s">
        <v>265</v>
      </c>
      <c r="B22" s="115"/>
      <c r="C22" s="115"/>
      <c r="D22" s="115"/>
      <c r="E22" s="115"/>
      <c r="F22" s="115"/>
      <c r="G22" s="115"/>
      <c r="H22" s="115"/>
      <c r="I22" s="115"/>
      <c r="J22" s="115"/>
    </row>
    <row r="23" spans="1:16" x14ac:dyDescent="0.3">
      <c r="B23" s="87" t="s">
        <v>266</v>
      </c>
      <c r="C23" s="86"/>
      <c r="D23" s="88" t="s">
        <v>267</v>
      </c>
      <c r="E23" s="86"/>
      <c r="F23" s="88" t="s">
        <v>268</v>
      </c>
      <c r="G23" s="86"/>
      <c r="H23" s="88" t="s">
        <v>269</v>
      </c>
    </row>
    <row r="24" spans="1:16" x14ac:dyDescent="0.3">
      <c r="B24" s="109" t="s">
        <v>32</v>
      </c>
      <c r="H24" s="94" t="s">
        <v>293</v>
      </c>
    </row>
    <row r="25" spans="1:16" x14ac:dyDescent="0.3">
      <c r="B25" s="104" t="s">
        <v>294</v>
      </c>
      <c r="D25" s="116" t="s">
        <v>27</v>
      </c>
      <c r="F25" s="89" t="s">
        <v>272</v>
      </c>
      <c r="H25" s="117" t="s">
        <v>273</v>
      </c>
    </row>
    <row r="26" spans="1:16" x14ac:dyDescent="0.3">
      <c r="B26" s="104" t="s">
        <v>295</v>
      </c>
      <c r="D26" s="118" t="s">
        <v>28</v>
      </c>
      <c r="F26" s="89" t="s">
        <v>275</v>
      </c>
      <c r="H26" s="117" t="s">
        <v>296</v>
      </c>
    </row>
    <row r="27" spans="1:16" x14ac:dyDescent="0.3">
      <c r="B27" s="104" t="s">
        <v>297</v>
      </c>
      <c r="D27" s="119" t="s">
        <v>29</v>
      </c>
      <c r="F27" s="89" t="s">
        <v>275</v>
      </c>
      <c r="H27" s="117" t="s">
        <v>296</v>
      </c>
    </row>
    <row r="29" spans="1:16" x14ac:dyDescent="0.3">
      <c r="B29" s="123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A883-5732-48C3-85C9-27C9ACC945D1}">
  <dimension ref="A1:P42"/>
  <sheetViews>
    <sheetView zoomScale="85" zoomScaleNormal="85" workbookViewId="0"/>
  </sheetViews>
  <sheetFormatPr baseColWidth="10" defaultColWidth="11.44140625" defaultRowHeight="14.4" outlineLevelCol="1" x14ac:dyDescent="0.3"/>
  <cols>
    <col min="1" max="1" width="2.77734375" customWidth="1"/>
    <col min="2" max="2" width="37" style="16" customWidth="1" outlineLevel="1"/>
    <col min="3" max="3" width="1.88671875" style="16" customWidth="1" outlineLevel="1"/>
    <col min="4" max="4" width="14.77734375" style="16" customWidth="1" outlineLevel="1"/>
    <col min="5" max="5" width="11.109375" style="16" customWidth="1" outlineLevel="1"/>
    <col min="6" max="6" width="1.88671875" customWidth="1" outlineLevel="1"/>
    <col min="7" max="7" width="33.33203125" customWidth="1" outlineLevel="1"/>
    <col min="8" max="8" width="1.88671875" customWidth="1" outlineLevel="1"/>
    <col min="9" max="9" width="33.33203125" customWidth="1" outlineLevel="1"/>
    <col min="10" max="10" width="11.109375" customWidth="1" outlineLevel="1"/>
    <col min="11" max="11" width="2.88671875" customWidth="1" outlineLevel="1"/>
    <col min="12" max="12" width="5.6640625" customWidth="1" outlineLevel="1"/>
    <col min="13" max="13" width="2.33203125" customWidth="1" outlineLevel="1"/>
    <col min="14" max="14" width="4.33203125" customWidth="1" outlineLevel="1"/>
    <col min="15" max="15" width="6.33203125" customWidth="1" outlineLevel="1"/>
    <col min="16" max="16" width="19.5546875" customWidth="1"/>
  </cols>
  <sheetData>
    <row r="1" spans="1:10" ht="18" x14ac:dyDescent="0.35">
      <c r="A1" s="66" t="s">
        <v>298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x14ac:dyDescent="0.3">
      <c r="B2"/>
      <c r="C2"/>
      <c r="D2"/>
      <c r="E2"/>
    </row>
    <row r="3" spans="1:10" ht="25.5" customHeight="1" x14ac:dyDescent="0.3">
      <c r="A3" s="69" t="s">
        <v>213</v>
      </c>
      <c r="B3" s="70"/>
      <c r="C3" s="70"/>
      <c r="D3" s="70"/>
      <c r="E3" s="70"/>
      <c r="F3" s="70"/>
      <c r="G3" s="70"/>
      <c r="H3" s="70"/>
      <c r="I3" s="70"/>
      <c r="J3" s="70"/>
    </row>
    <row r="4" spans="1:10" ht="19.5" customHeight="1" x14ac:dyDescent="0.3">
      <c r="A4" s="70"/>
      <c r="B4" s="71" t="s">
        <v>63</v>
      </c>
      <c r="C4" s="70"/>
      <c r="D4" s="71" t="s">
        <v>13</v>
      </c>
      <c r="E4" s="70"/>
      <c r="F4" s="71" t="s">
        <v>16</v>
      </c>
      <c r="G4" s="70"/>
      <c r="H4" s="71" t="s">
        <v>214</v>
      </c>
      <c r="I4" s="71" t="s">
        <v>215</v>
      </c>
      <c r="J4" s="70"/>
    </row>
    <row r="5" spans="1:10" ht="18.75" customHeight="1" x14ac:dyDescent="0.3">
      <c r="A5" s="70"/>
      <c r="B5" s="79" t="s">
        <v>6</v>
      </c>
      <c r="C5" s="70"/>
      <c r="D5" s="80">
        <f>D10</f>
        <v>0</v>
      </c>
      <c r="E5" s="70"/>
      <c r="F5" s="81">
        <f>D11</f>
        <v>0</v>
      </c>
      <c r="G5" s="70"/>
      <c r="H5" s="124">
        <f>D12</f>
        <v>0</v>
      </c>
      <c r="I5" s="83">
        <f>I28</f>
        <v>0</v>
      </c>
      <c r="J5" s="70"/>
    </row>
    <row r="6" spans="1:10" ht="18" customHeight="1" x14ac:dyDescent="0.3">
      <c r="A6" s="70"/>
      <c r="B6" s="73" t="s">
        <v>299</v>
      </c>
      <c r="C6" s="70"/>
      <c r="D6" s="74">
        <f>D17</f>
        <v>0</v>
      </c>
      <c r="E6" s="70"/>
      <c r="F6" s="75">
        <f>D18</f>
        <v>0</v>
      </c>
      <c r="G6" s="70"/>
      <c r="H6" s="76">
        <f>D19</f>
        <v>0</v>
      </c>
      <c r="I6" s="78">
        <f>I29</f>
        <v>0</v>
      </c>
      <c r="J6" s="70"/>
    </row>
    <row r="7" spans="1:10" ht="18" customHeight="1" x14ac:dyDescent="0.3">
      <c r="A7" s="70"/>
      <c r="B7" s="70"/>
      <c r="C7" s="70"/>
      <c r="D7" s="70"/>
      <c r="E7" s="70"/>
      <c r="F7" s="70"/>
      <c r="G7" s="70"/>
      <c r="H7" s="70"/>
      <c r="I7" s="70"/>
      <c r="J7" s="70"/>
    </row>
    <row r="8" spans="1:10" ht="18" customHeight="1" x14ac:dyDescent="0.3">
      <c r="A8" s="84" t="s">
        <v>300</v>
      </c>
      <c r="B8" s="85"/>
      <c r="C8" s="85"/>
      <c r="D8" s="85"/>
      <c r="E8" s="85"/>
      <c r="F8" s="85"/>
      <c r="G8" s="85"/>
      <c r="H8" s="85"/>
      <c r="I8" s="85"/>
      <c r="J8" s="85"/>
    </row>
    <row r="9" spans="1:10" ht="18.75" customHeight="1" x14ac:dyDescent="0.3">
      <c r="B9" s="87" t="s">
        <v>219</v>
      </c>
      <c r="C9" s="86"/>
      <c r="D9" s="88" t="s">
        <v>220</v>
      </c>
      <c r="E9" s="88" t="s">
        <v>221</v>
      </c>
      <c r="F9" s="86"/>
      <c r="G9" s="88" t="s">
        <v>0</v>
      </c>
      <c r="H9" s="86"/>
      <c r="I9" s="88" t="s">
        <v>1</v>
      </c>
    </row>
    <row r="10" spans="1:10" ht="18" customHeight="1" x14ac:dyDescent="0.3">
      <c r="B10" s="72" t="s">
        <v>301</v>
      </c>
      <c r="C10"/>
      <c r="D10" s="91"/>
      <c r="E10" s="89" t="s">
        <v>226</v>
      </c>
      <c r="G10" s="89" t="s">
        <v>302</v>
      </c>
      <c r="I10" s="89" t="s">
        <v>15</v>
      </c>
    </row>
    <row r="11" spans="1:10" ht="18" customHeight="1" x14ac:dyDescent="0.3">
      <c r="B11" s="72" t="s">
        <v>5</v>
      </c>
      <c r="C11"/>
      <c r="D11" s="93"/>
      <c r="E11" s="89" t="s">
        <v>230</v>
      </c>
      <c r="G11" s="89" t="s">
        <v>231</v>
      </c>
      <c r="I11" s="89" t="s">
        <v>232</v>
      </c>
    </row>
    <row r="12" spans="1:10" ht="16.5" customHeight="1" x14ac:dyDescent="0.3">
      <c r="B12" s="72" t="s">
        <v>214</v>
      </c>
      <c r="C12"/>
      <c r="D12" s="96"/>
      <c r="E12"/>
    </row>
    <row r="13" spans="1:10" ht="16.5" customHeight="1" x14ac:dyDescent="0.3">
      <c r="B13" s="72" t="s">
        <v>64</v>
      </c>
      <c r="C13"/>
      <c r="D13"/>
      <c r="E13"/>
      <c r="G13" s="89" t="str">
        <f>'Kat. 1 U-Wert'!B19</f>
        <v>Sonstige Wandaufbauten über 20cm Wandstärke</v>
      </c>
      <c r="I13" s="89" t="s">
        <v>303</v>
      </c>
    </row>
    <row r="14" spans="1:10" ht="15.75" customHeight="1" x14ac:dyDescent="0.3">
      <c r="B14" s="72"/>
      <c r="C14"/>
      <c r="D14"/>
      <c r="E14"/>
      <c r="G14" s="89" t="str">
        <f>'Kat. 1 U-Wert'!B16</f>
        <v>Wie vorstehend, jedoch
über 30cm Wandstärke</v>
      </c>
      <c r="I14" s="89" t="s">
        <v>289</v>
      </c>
    </row>
    <row r="15" spans="1:10" x14ac:dyDescent="0.3">
      <c r="B15"/>
      <c r="C15"/>
      <c r="D15"/>
      <c r="E15"/>
    </row>
    <row r="16" spans="1:10" x14ac:dyDescent="0.3">
      <c r="A16" s="84" t="s">
        <v>304</v>
      </c>
      <c r="B16" s="85"/>
      <c r="C16" s="85"/>
      <c r="D16" s="85"/>
      <c r="E16" s="85"/>
      <c r="F16" s="85"/>
      <c r="G16" s="85"/>
      <c r="H16" s="85"/>
      <c r="I16" s="85"/>
      <c r="J16" s="85"/>
    </row>
    <row r="17" spans="1:16" ht="15" thickBot="1" x14ac:dyDescent="0.35">
      <c r="B17" s="72" t="s">
        <v>305</v>
      </c>
      <c r="C17"/>
      <c r="D17" s="91"/>
      <c r="E17" s="89" t="s">
        <v>226</v>
      </c>
      <c r="G17" s="89" t="s">
        <v>306</v>
      </c>
      <c r="I17" s="89" t="s">
        <v>15</v>
      </c>
    </row>
    <row r="18" spans="1:16" x14ac:dyDescent="0.3">
      <c r="B18" s="72" t="s">
        <v>307</v>
      </c>
      <c r="C18"/>
      <c r="D18" s="93"/>
      <c r="E18" s="89" t="s">
        <v>230</v>
      </c>
      <c r="G18" s="89" t="s">
        <v>231</v>
      </c>
      <c r="I18" s="89" t="s">
        <v>232</v>
      </c>
      <c r="P18" s="10"/>
    </row>
    <row r="19" spans="1:16" ht="15.75" customHeight="1" x14ac:dyDescent="0.3">
      <c r="B19" s="72" t="s">
        <v>214</v>
      </c>
      <c r="C19"/>
      <c r="D19" s="96"/>
      <c r="E19"/>
      <c r="P19" s="12"/>
    </row>
    <row r="20" spans="1:16" ht="48.75" customHeight="1" x14ac:dyDescent="0.3">
      <c r="B20" s="72" t="s">
        <v>238</v>
      </c>
      <c r="C20"/>
      <c r="D20"/>
      <c r="E20"/>
      <c r="G20" s="89" t="str">
        <f>'Kat. 1 U-Wert'!B37</f>
        <v>Holzfenster, zwei Scheiben</v>
      </c>
      <c r="I20" s="94" t="s">
        <v>308</v>
      </c>
      <c r="P20" s="12"/>
    </row>
    <row r="21" spans="1:16" ht="51" customHeight="1" x14ac:dyDescent="0.3">
      <c r="B21" s="72"/>
      <c r="C21"/>
      <c r="D21"/>
      <c r="E21"/>
      <c r="G21" s="89" t="str">
        <f>'Kat. 1 U-Wert'!B39</f>
        <v>Kunststofffenster, Isolierverglasung</v>
      </c>
      <c r="I21" s="94" t="s">
        <v>240</v>
      </c>
      <c r="P21" s="12"/>
    </row>
    <row r="22" spans="1:16" ht="51" customHeight="1" x14ac:dyDescent="0.3">
      <c r="B22"/>
      <c r="C22"/>
      <c r="D22"/>
      <c r="E22"/>
      <c r="P22" s="12"/>
    </row>
    <row r="23" spans="1:16" ht="16.5" customHeight="1" x14ac:dyDescent="0.3">
      <c r="B23"/>
      <c r="C23"/>
      <c r="D23"/>
      <c r="E23"/>
      <c r="P23" s="12"/>
    </row>
    <row r="24" spans="1:16" ht="16.5" customHeight="1" x14ac:dyDescent="0.3">
      <c r="A24" s="97" t="s">
        <v>241</v>
      </c>
      <c r="B24" s="98"/>
      <c r="C24" s="98"/>
      <c r="D24" s="98"/>
      <c r="E24" s="98"/>
      <c r="F24" s="98"/>
      <c r="G24" s="98"/>
      <c r="H24" s="98"/>
      <c r="I24" s="98"/>
      <c r="J24" s="98"/>
      <c r="P24" s="12"/>
    </row>
    <row r="25" spans="1:16" ht="52.5" customHeight="1" x14ac:dyDescent="0.3">
      <c r="B25" s="87" t="s">
        <v>242</v>
      </c>
      <c r="C25" s="86"/>
      <c r="D25" s="88" t="s">
        <v>243</v>
      </c>
      <c r="E25" s="86"/>
      <c r="F25" s="86"/>
      <c r="G25" s="86"/>
      <c r="H25" s="86"/>
      <c r="I25" s="88" t="s">
        <v>244</v>
      </c>
      <c r="J25" s="88" t="s">
        <v>221</v>
      </c>
      <c r="P25" s="12"/>
    </row>
    <row r="26" spans="1:16" ht="53.25" customHeight="1" x14ac:dyDescent="0.3">
      <c r="B26"/>
      <c r="C26"/>
      <c r="D26"/>
      <c r="E26"/>
      <c r="P26" s="12"/>
    </row>
    <row r="27" spans="1:16" ht="15.75" customHeight="1" x14ac:dyDescent="0.3">
      <c r="B27" s="107" t="s">
        <v>309</v>
      </c>
      <c r="C27"/>
      <c r="D27" s="95" t="s">
        <v>253</v>
      </c>
      <c r="E27"/>
      <c r="I27" s="108">
        <f>D12*D11*D10</f>
        <v>0</v>
      </c>
      <c r="J27" s="89" t="s">
        <v>254</v>
      </c>
      <c r="P27" s="12"/>
    </row>
    <row r="28" spans="1:16" ht="15" thickBot="1" x14ac:dyDescent="0.35">
      <c r="A28" s="13"/>
      <c r="B28" s="100" t="s">
        <v>310</v>
      </c>
      <c r="C28" s="17"/>
      <c r="D28" s="101" t="s">
        <v>253</v>
      </c>
      <c r="E28" s="17"/>
      <c r="F28" s="14"/>
      <c r="G28" s="14"/>
      <c r="H28" s="14"/>
      <c r="I28" s="108">
        <f>D19*D18*D17</f>
        <v>0</v>
      </c>
      <c r="J28" s="103" t="s">
        <v>254</v>
      </c>
      <c r="K28" s="14"/>
      <c r="L28" s="14"/>
      <c r="M28" s="14"/>
      <c r="N28" s="14"/>
      <c r="O28" s="14"/>
      <c r="P28" s="15"/>
    </row>
    <row r="29" spans="1:16" ht="15" thickBot="1" x14ac:dyDescent="0.35">
      <c r="B29" s="109" t="s">
        <v>256</v>
      </c>
      <c r="D29" s="106" t="s">
        <v>311</v>
      </c>
      <c r="I29" s="111">
        <f>I27+I28</f>
        <v>0</v>
      </c>
      <c r="J29" s="112" t="s">
        <v>254</v>
      </c>
    </row>
    <row r="31" spans="1:16" x14ac:dyDescent="0.3">
      <c r="A31" s="114" t="s">
        <v>265</v>
      </c>
      <c r="B31" s="115"/>
      <c r="C31" s="115"/>
      <c r="D31" s="115"/>
      <c r="E31" s="115"/>
      <c r="F31" s="115"/>
      <c r="G31" s="115"/>
      <c r="H31" s="115"/>
      <c r="I31" s="115"/>
      <c r="J31" s="115"/>
    </row>
    <row r="32" spans="1:16" x14ac:dyDescent="0.3">
      <c r="B32" s="87" t="s">
        <v>266</v>
      </c>
      <c r="C32" s="86"/>
      <c r="D32" s="88" t="s">
        <v>267</v>
      </c>
      <c r="E32" s="86"/>
      <c r="F32" s="88" t="s">
        <v>268</v>
      </c>
      <c r="G32" s="86"/>
      <c r="H32" s="88" t="s">
        <v>269</v>
      </c>
    </row>
    <row r="33" spans="2:8" x14ac:dyDescent="0.3">
      <c r="B33" s="109" t="s">
        <v>312</v>
      </c>
      <c r="H33" s="94" t="s">
        <v>293</v>
      </c>
    </row>
    <row r="34" spans="2:8" x14ac:dyDescent="0.3">
      <c r="B34" s="104" t="s">
        <v>313</v>
      </c>
      <c r="D34" s="116" t="s">
        <v>27</v>
      </c>
      <c r="F34" s="89" t="s">
        <v>272</v>
      </c>
      <c r="H34" s="117" t="s">
        <v>273</v>
      </c>
    </row>
    <row r="35" spans="2:8" x14ac:dyDescent="0.3">
      <c r="B35" s="104" t="s">
        <v>314</v>
      </c>
      <c r="D35" s="118" t="s">
        <v>28</v>
      </c>
      <c r="F35" s="89" t="s">
        <v>315</v>
      </c>
      <c r="H35" s="117" t="s">
        <v>316</v>
      </c>
    </row>
    <row r="36" spans="2:8" x14ac:dyDescent="0.3">
      <c r="B36" s="104" t="s">
        <v>317</v>
      </c>
      <c r="D36" s="119" t="s">
        <v>33</v>
      </c>
      <c r="F36" s="89" t="s">
        <v>315</v>
      </c>
      <c r="H36" s="117" t="s">
        <v>316</v>
      </c>
    </row>
    <row r="38" spans="2:8" x14ac:dyDescent="0.3">
      <c r="B38" s="109" t="s">
        <v>25</v>
      </c>
      <c r="H38" s="95" t="s">
        <v>318</v>
      </c>
    </row>
    <row r="39" spans="2:8" x14ac:dyDescent="0.3">
      <c r="B39" s="104" t="s">
        <v>279</v>
      </c>
      <c r="D39" s="116" t="s">
        <v>27</v>
      </c>
      <c r="F39" s="89" t="s">
        <v>272</v>
      </c>
      <c r="H39" s="117" t="s">
        <v>273</v>
      </c>
    </row>
    <row r="40" spans="2:8" x14ac:dyDescent="0.3">
      <c r="B40" s="104" t="s">
        <v>280</v>
      </c>
      <c r="D40" s="119" t="s">
        <v>319</v>
      </c>
      <c r="F40" s="89" t="s">
        <v>320</v>
      </c>
      <c r="H40" s="117" t="s">
        <v>282</v>
      </c>
    </row>
    <row r="42" spans="2:8" x14ac:dyDescent="0.3">
      <c r="B42" s="123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0BC3-2D90-4A48-8563-40A1485F6950}">
  <dimension ref="A1:P28"/>
  <sheetViews>
    <sheetView zoomScale="85" zoomScaleNormal="85" workbookViewId="0"/>
  </sheetViews>
  <sheetFormatPr baseColWidth="10" defaultColWidth="11.44140625" defaultRowHeight="14.4" outlineLevelCol="1" x14ac:dyDescent="0.3"/>
  <cols>
    <col min="1" max="1" width="2.77734375" customWidth="1"/>
    <col min="2" max="2" width="37" style="16" customWidth="1" outlineLevel="1"/>
    <col min="3" max="3" width="1.88671875" style="16" customWidth="1" outlineLevel="1"/>
    <col min="4" max="4" width="14.77734375" style="16" customWidth="1" outlineLevel="1"/>
    <col min="5" max="5" width="11.109375" style="16" customWidth="1" outlineLevel="1"/>
    <col min="6" max="6" width="1.88671875" customWidth="1" outlineLevel="1"/>
    <col min="7" max="7" width="33.33203125" customWidth="1" outlineLevel="1"/>
    <col min="8" max="8" width="1.88671875" customWidth="1" outlineLevel="1"/>
    <col min="9" max="9" width="33.33203125" customWidth="1" outlineLevel="1"/>
    <col min="10" max="10" width="11.109375" customWidth="1" outlineLevel="1"/>
    <col min="11" max="11" width="2.88671875" customWidth="1" outlineLevel="1"/>
    <col min="12" max="12" width="5.6640625" customWidth="1" outlineLevel="1"/>
    <col min="13" max="13" width="2.33203125" customWidth="1" outlineLevel="1"/>
    <col min="14" max="14" width="4.33203125" customWidth="1" outlineLevel="1"/>
    <col min="15" max="15" width="6.33203125" customWidth="1" outlineLevel="1"/>
    <col min="16" max="16" width="19.5546875" customWidth="1"/>
  </cols>
  <sheetData>
    <row r="1" spans="1:16" ht="18" x14ac:dyDescent="0.35">
      <c r="A1" s="66" t="s">
        <v>321</v>
      </c>
      <c r="B1" s="68"/>
      <c r="C1" s="68"/>
      <c r="D1" s="68"/>
      <c r="E1" s="68"/>
      <c r="F1" s="68"/>
      <c r="G1" s="68"/>
      <c r="H1" s="68"/>
      <c r="I1" s="68"/>
      <c r="J1" s="68"/>
    </row>
    <row r="2" spans="1:16" x14ac:dyDescent="0.3">
      <c r="B2"/>
      <c r="C2"/>
      <c r="D2"/>
      <c r="E2"/>
    </row>
    <row r="3" spans="1:16" ht="25.5" customHeight="1" x14ac:dyDescent="0.3">
      <c r="A3" s="69" t="s">
        <v>213</v>
      </c>
      <c r="B3" s="70"/>
      <c r="C3" s="70"/>
      <c r="D3" s="70"/>
      <c r="E3" s="70"/>
      <c r="F3" s="70"/>
      <c r="G3" s="70"/>
      <c r="H3" s="70"/>
      <c r="I3" s="70"/>
      <c r="J3" s="70"/>
    </row>
    <row r="4" spans="1:16" ht="19.5" customHeight="1" x14ac:dyDescent="0.3">
      <c r="A4" s="70"/>
      <c r="B4" s="71" t="s">
        <v>63</v>
      </c>
      <c r="C4" s="70"/>
      <c r="D4" s="71" t="s">
        <v>13</v>
      </c>
      <c r="E4" s="70"/>
      <c r="F4" s="71" t="s">
        <v>16</v>
      </c>
      <c r="G4" s="70"/>
      <c r="H4" s="71" t="s">
        <v>214</v>
      </c>
      <c r="I4" s="71" t="s">
        <v>215</v>
      </c>
      <c r="J4" s="70"/>
    </row>
    <row r="5" spans="1:16" ht="18.75" customHeight="1" x14ac:dyDescent="0.3">
      <c r="A5" s="70"/>
      <c r="B5" s="73" t="s">
        <v>20</v>
      </c>
      <c r="C5" s="70"/>
      <c r="D5" s="74">
        <f>D10</f>
        <v>0</v>
      </c>
      <c r="E5" s="70"/>
      <c r="F5" s="75">
        <f>D11</f>
        <v>0</v>
      </c>
      <c r="G5" s="70"/>
      <c r="H5" s="76">
        <f>D13</f>
        <v>0</v>
      </c>
      <c r="I5" s="78">
        <f>I19</f>
        <v>0</v>
      </c>
      <c r="J5" s="70"/>
    </row>
    <row r="6" spans="1:16" ht="18" customHeight="1" x14ac:dyDescent="0.3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6" ht="18" customHeight="1" x14ac:dyDescent="0.3">
      <c r="B7"/>
      <c r="C7"/>
      <c r="D7"/>
      <c r="E7"/>
    </row>
    <row r="8" spans="1:16" ht="18" customHeight="1" x14ac:dyDescent="0.3">
      <c r="A8" s="84" t="s">
        <v>322</v>
      </c>
      <c r="B8" s="85"/>
      <c r="C8" s="85"/>
      <c r="D8" s="85"/>
      <c r="E8" s="85"/>
      <c r="F8" s="85"/>
      <c r="G8" s="85"/>
      <c r="H8" s="85"/>
      <c r="I8" s="85"/>
      <c r="J8" s="85"/>
    </row>
    <row r="9" spans="1:16" x14ac:dyDescent="0.3">
      <c r="B9" s="87" t="s">
        <v>219</v>
      </c>
      <c r="C9" s="86"/>
      <c r="D9" s="88" t="s">
        <v>220</v>
      </c>
      <c r="E9" s="88" t="s">
        <v>221</v>
      </c>
      <c r="F9" s="86"/>
      <c r="G9" s="88" t="s">
        <v>0</v>
      </c>
      <c r="H9" s="86"/>
      <c r="I9" s="88" t="s">
        <v>1</v>
      </c>
    </row>
    <row r="10" spans="1:16" x14ac:dyDescent="0.3">
      <c r="B10" s="72" t="s">
        <v>323</v>
      </c>
      <c r="C10"/>
      <c r="D10" s="91"/>
      <c r="E10" s="89" t="s">
        <v>226</v>
      </c>
      <c r="G10" s="89" t="s">
        <v>288</v>
      </c>
      <c r="I10" s="89" t="s">
        <v>15</v>
      </c>
    </row>
    <row r="11" spans="1:16" ht="15" thickBot="1" x14ac:dyDescent="0.35">
      <c r="B11" s="72" t="s">
        <v>5</v>
      </c>
      <c r="C11"/>
      <c r="D11" s="93"/>
      <c r="E11" s="89" t="s">
        <v>230</v>
      </c>
      <c r="G11" s="89" t="s">
        <v>231</v>
      </c>
      <c r="I11" s="89" t="s">
        <v>232</v>
      </c>
    </row>
    <row r="12" spans="1:16" x14ac:dyDescent="0.3">
      <c r="B12" s="72" t="s">
        <v>64</v>
      </c>
      <c r="C12"/>
      <c r="D12"/>
      <c r="E12"/>
      <c r="G12" s="89" t="str">
        <f>'Kat. 1 U-Wert'!B24</f>
        <v>Kellerdecke 
Stahlbeton massiv</v>
      </c>
      <c r="I12" s="89" t="str">
        <f>'Kat. 1 U-Wert'!B24</f>
        <v>Kellerdecke 
Stahlbeton massiv</v>
      </c>
      <c r="P12" s="10"/>
    </row>
    <row r="13" spans="1:16" ht="15.75" customHeight="1" x14ac:dyDescent="0.3">
      <c r="B13" s="72"/>
      <c r="C13"/>
      <c r="D13"/>
      <c r="E13"/>
      <c r="G13" s="89" t="str">
        <f>'Kat. 1 U-Wert'!B25</f>
        <v>Kellerdecke 
als Holzbalkendecke</v>
      </c>
      <c r="I13" s="89" t="str">
        <f>'Kat. 1 U-Wert'!B25</f>
        <v>Kellerdecke 
als Holzbalkendecke</v>
      </c>
      <c r="P13" s="12"/>
    </row>
    <row r="14" spans="1:16" ht="48.75" customHeight="1" x14ac:dyDescent="0.3">
      <c r="B14" s="72"/>
      <c r="C14"/>
      <c r="D14"/>
      <c r="E14"/>
      <c r="G14" s="125" t="str">
        <f>'Kat. 1 U-Wert'!B26</f>
        <v>Boden gegen Erdreich,
Stahlbeton massiv</v>
      </c>
      <c r="I14" s="89" t="s">
        <v>289</v>
      </c>
      <c r="P14" s="12"/>
    </row>
    <row r="15" spans="1:16" ht="51" customHeight="1" x14ac:dyDescent="0.3">
      <c r="B15" s="72" t="s">
        <v>214</v>
      </c>
      <c r="C15"/>
      <c r="D15" s="96"/>
      <c r="E15"/>
      <c r="P15" s="12"/>
    </row>
    <row r="16" spans="1:16" ht="16.5" customHeight="1" x14ac:dyDescent="0.3">
      <c r="B16"/>
      <c r="C16"/>
      <c r="D16"/>
      <c r="E16"/>
      <c r="P16" s="12"/>
    </row>
    <row r="17" spans="1:16" ht="15" thickBot="1" x14ac:dyDescent="0.35">
      <c r="A17" s="126" t="s">
        <v>241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4"/>
      <c r="L17" s="14"/>
      <c r="M17" s="14"/>
      <c r="N17" s="14"/>
      <c r="O17" s="14"/>
      <c r="P17" s="15"/>
    </row>
    <row r="18" spans="1:16" x14ac:dyDescent="0.3">
      <c r="B18" s="87" t="s">
        <v>242</v>
      </c>
      <c r="C18" s="86"/>
      <c r="D18" s="88" t="s">
        <v>243</v>
      </c>
      <c r="E18" s="86"/>
      <c r="F18" s="86"/>
      <c r="G18" s="86"/>
      <c r="H18" s="86"/>
      <c r="I18" s="88" t="s">
        <v>244</v>
      </c>
      <c r="J18" s="88" t="s">
        <v>221</v>
      </c>
    </row>
    <row r="19" spans="1:16" x14ac:dyDescent="0.3">
      <c r="B19" s="105" t="s">
        <v>324</v>
      </c>
      <c r="D19" s="106" t="s">
        <v>253</v>
      </c>
      <c r="I19" s="108">
        <f>D15*D11*D10</f>
        <v>0</v>
      </c>
      <c r="J19" s="89" t="s">
        <v>254</v>
      </c>
    </row>
    <row r="20" spans="1:16" ht="15" thickBot="1" x14ac:dyDescent="0.35">
      <c r="B20" s="109" t="s">
        <v>325</v>
      </c>
      <c r="D20" s="106" t="s">
        <v>326</v>
      </c>
      <c r="I20" s="111">
        <f>I19</f>
        <v>0</v>
      </c>
      <c r="J20" s="112" t="s">
        <v>254</v>
      </c>
    </row>
    <row r="22" spans="1:16" x14ac:dyDescent="0.3">
      <c r="A22" s="114" t="s">
        <v>265</v>
      </c>
      <c r="B22" s="115"/>
      <c r="C22" s="115"/>
      <c r="D22" s="115"/>
      <c r="E22" s="115"/>
      <c r="F22" s="115"/>
      <c r="G22" s="115"/>
      <c r="H22" s="115"/>
      <c r="I22" s="115"/>
      <c r="J22" s="115"/>
    </row>
    <row r="23" spans="1:16" x14ac:dyDescent="0.3">
      <c r="B23" s="87" t="s">
        <v>266</v>
      </c>
      <c r="C23" s="86"/>
      <c r="D23" s="88" t="s">
        <v>267</v>
      </c>
      <c r="E23" s="86"/>
      <c r="F23" s="88" t="s">
        <v>268</v>
      </c>
      <c r="G23" s="86"/>
      <c r="H23" s="88" t="s">
        <v>269</v>
      </c>
    </row>
    <row r="24" spans="1:16" x14ac:dyDescent="0.3">
      <c r="B24" s="109" t="s">
        <v>26</v>
      </c>
      <c r="H24" s="94" t="s">
        <v>293</v>
      </c>
    </row>
    <row r="25" spans="1:16" x14ac:dyDescent="0.3">
      <c r="B25" s="104" t="s">
        <v>327</v>
      </c>
      <c r="D25" s="116" t="s">
        <v>27</v>
      </c>
      <c r="F25" s="89" t="s">
        <v>272</v>
      </c>
      <c r="H25" s="117" t="s">
        <v>273</v>
      </c>
    </row>
    <row r="26" spans="1:16" x14ac:dyDescent="0.3">
      <c r="B26" s="104" t="s">
        <v>328</v>
      </c>
      <c r="D26" s="118" t="s">
        <v>28</v>
      </c>
      <c r="F26" s="89" t="s">
        <v>329</v>
      </c>
      <c r="H26" s="117" t="s">
        <v>330</v>
      </c>
    </row>
    <row r="28" spans="1:16" x14ac:dyDescent="0.3">
      <c r="B28" s="123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6F1A-6CCF-4869-A442-D78D3C29389E}">
  <dimension ref="A1:F51"/>
  <sheetViews>
    <sheetView zoomScaleNormal="100" workbookViewId="0"/>
  </sheetViews>
  <sheetFormatPr baseColWidth="10" defaultColWidth="11.44140625" defaultRowHeight="14.4" x14ac:dyDescent="0.3"/>
  <cols>
    <col min="1" max="1" width="2.77734375" customWidth="1"/>
    <col min="2" max="2" width="37" customWidth="1"/>
    <col min="3" max="3" width="1.88671875" customWidth="1"/>
    <col min="4" max="4" width="37" customWidth="1"/>
    <col min="5" max="5" width="1.88671875" customWidth="1"/>
    <col min="6" max="6" width="29.6640625" customWidth="1"/>
  </cols>
  <sheetData>
    <row r="1" spans="1:6" ht="18" customHeight="1" x14ac:dyDescent="0.35">
      <c r="A1" s="66" t="s">
        <v>331</v>
      </c>
      <c r="B1" s="68"/>
      <c r="C1" s="68"/>
      <c r="D1" s="68"/>
      <c r="E1" s="68"/>
      <c r="F1" s="68"/>
    </row>
    <row r="2" spans="1:6" ht="18" customHeight="1" x14ac:dyDescent="0.3">
      <c r="F2" s="65"/>
    </row>
    <row r="3" spans="1:6" ht="18" customHeight="1" x14ac:dyDescent="0.3">
      <c r="A3" s="69" t="s">
        <v>332</v>
      </c>
      <c r="B3" s="70"/>
      <c r="C3" s="70"/>
      <c r="D3" s="70"/>
      <c r="E3" s="70"/>
      <c r="F3" s="70"/>
    </row>
    <row r="4" spans="1:6" ht="18" customHeight="1" x14ac:dyDescent="0.3">
      <c r="B4" s="72" t="s">
        <v>333</v>
      </c>
      <c r="D4" s="89" t="s">
        <v>334</v>
      </c>
    </row>
    <row r="5" spans="1:6" ht="18" customHeight="1" x14ac:dyDescent="0.3">
      <c r="B5" s="72" t="s">
        <v>335</v>
      </c>
      <c r="D5" s="90" t="s">
        <v>35</v>
      </c>
    </row>
    <row r="6" spans="1:6" ht="18" customHeight="1" x14ac:dyDescent="0.3">
      <c r="B6" s="72" t="s">
        <v>336</v>
      </c>
      <c r="D6" s="90" t="s">
        <v>2</v>
      </c>
    </row>
    <row r="7" spans="1:6" ht="18" customHeight="1" x14ac:dyDescent="0.3"/>
    <row r="8" spans="1:6" ht="18" customHeight="1" x14ac:dyDescent="0.3">
      <c r="A8" s="84" t="s">
        <v>337</v>
      </c>
      <c r="B8" s="85"/>
      <c r="C8" s="85"/>
      <c r="D8" s="85"/>
      <c r="E8" s="85"/>
      <c r="F8" s="85"/>
    </row>
    <row r="9" spans="1:6" ht="18" customHeight="1" x14ac:dyDescent="0.3">
      <c r="B9" s="87" t="s">
        <v>8</v>
      </c>
      <c r="C9" s="86"/>
      <c r="D9" s="88" t="s">
        <v>9</v>
      </c>
      <c r="E9" s="86"/>
      <c r="F9" s="88" t="s">
        <v>36</v>
      </c>
    </row>
    <row r="10" spans="1:6" ht="18" customHeight="1" x14ac:dyDescent="0.3">
      <c r="B10" s="107" t="s">
        <v>37</v>
      </c>
      <c r="D10" s="128" t="s">
        <v>7</v>
      </c>
      <c r="F10" s="129" t="s">
        <v>36</v>
      </c>
    </row>
    <row r="11" spans="1:6" ht="18" customHeight="1" x14ac:dyDescent="0.3">
      <c r="D11" s="128" t="s">
        <v>10</v>
      </c>
      <c r="F11" s="129" t="s">
        <v>36</v>
      </c>
    </row>
    <row r="12" spans="1:6" ht="18" customHeight="1" x14ac:dyDescent="0.3">
      <c r="D12" s="128" t="s">
        <v>11</v>
      </c>
      <c r="F12" s="129" t="s">
        <v>36</v>
      </c>
    </row>
    <row r="13" spans="1:6" ht="18" customHeight="1" x14ac:dyDescent="0.3"/>
    <row r="14" spans="1:6" ht="18" customHeight="1" x14ac:dyDescent="0.3">
      <c r="B14" s="107" t="s">
        <v>38</v>
      </c>
      <c r="D14" s="128" t="s">
        <v>7</v>
      </c>
      <c r="F14" s="129" t="s">
        <v>36</v>
      </c>
    </row>
    <row r="15" spans="1:6" ht="18" customHeight="1" x14ac:dyDescent="0.3">
      <c r="D15" s="128" t="s">
        <v>10</v>
      </c>
      <c r="F15" s="129" t="s">
        <v>36</v>
      </c>
    </row>
    <row r="16" spans="1:6" ht="18" customHeight="1" x14ac:dyDescent="0.3">
      <c r="D16" s="128" t="s">
        <v>11</v>
      </c>
      <c r="F16" s="129" t="s">
        <v>36</v>
      </c>
    </row>
    <row r="17" spans="1:6" ht="18" customHeight="1" x14ac:dyDescent="0.3"/>
    <row r="18" spans="1:6" ht="18" customHeight="1" x14ac:dyDescent="0.3">
      <c r="B18" s="107" t="s">
        <v>39</v>
      </c>
      <c r="D18" s="130" t="s">
        <v>40</v>
      </c>
      <c r="F18" s="131" t="s">
        <v>41</v>
      </c>
    </row>
    <row r="19" spans="1:6" ht="18" customHeight="1" x14ac:dyDescent="0.3">
      <c r="D19" s="130" t="s">
        <v>42</v>
      </c>
      <c r="F19" s="131" t="s">
        <v>41</v>
      </c>
    </row>
    <row r="20" spans="1:6" ht="18" customHeight="1" x14ac:dyDescent="0.3"/>
    <row r="21" spans="1:6" ht="18" customHeight="1" x14ac:dyDescent="0.3">
      <c r="B21" s="107" t="s">
        <v>43</v>
      </c>
      <c r="D21" s="130" t="s">
        <v>44</v>
      </c>
      <c r="F21" s="131" t="s">
        <v>41</v>
      </c>
    </row>
    <row r="22" spans="1:6" ht="18" customHeight="1" x14ac:dyDescent="0.3">
      <c r="D22" s="130" t="s">
        <v>45</v>
      </c>
      <c r="F22" s="131" t="s">
        <v>41</v>
      </c>
    </row>
    <row r="23" spans="1:6" ht="18" customHeight="1" x14ac:dyDescent="0.3">
      <c r="D23" s="130" t="s">
        <v>338</v>
      </c>
      <c r="F23" s="131" t="s">
        <v>41</v>
      </c>
    </row>
    <row r="24" spans="1:6" ht="18" customHeight="1" x14ac:dyDescent="0.3">
      <c r="D24" s="130" t="s">
        <v>339</v>
      </c>
      <c r="F24" s="131" t="s">
        <v>41</v>
      </c>
    </row>
    <row r="25" spans="1:6" ht="18" customHeight="1" x14ac:dyDescent="0.3">
      <c r="D25" s="128" t="s">
        <v>46</v>
      </c>
      <c r="F25" s="129" t="s">
        <v>36</v>
      </c>
    </row>
    <row r="26" spans="1:6" ht="18" customHeight="1" x14ac:dyDescent="0.3"/>
    <row r="27" spans="1:6" ht="18" customHeight="1" x14ac:dyDescent="0.3">
      <c r="B27" s="107" t="s">
        <v>47</v>
      </c>
    </row>
    <row r="28" spans="1:6" ht="18" customHeight="1" x14ac:dyDescent="0.3"/>
    <row r="29" spans="1:6" ht="18" customHeight="1" x14ac:dyDescent="0.3">
      <c r="A29" s="97" t="s">
        <v>340</v>
      </c>
      <c r="B29" s="98"/>
      <c r="C29" s="98"/>
      <c r="D29" s="98"/>
      <c r="E29" s="98"/>
      <c r="F29" s="98"/>
    </row>
    <row r="30" spans="1:6" ht="18" customHeight="1" x14ac:dyDescent="0.3">
      <c r="B30" s="107" t="s">
        <v>48</v>
      </c>
      <c r="D30" s="130" t="s">
        <v>49</v>
      </c>
      <c r="F30" s="131" t="s">
        <v>41</v>
      </c>
    </row>
    <row r="31" spans="1:6" ht="18" customHeight="1" x14ac:dyDescent="0.3">
      <c r="D31" s="130" t="s">
        <v>50</v>
      </c>
      <c r="F31" s="131" t="s">
        <v>41</v>
      </c>
    </row>
    <row r="32" spans="1:6" ht="18" customHeight="1" x14ac:dyDescent="0.3"/>
    <row r="33" spans="1:6" ht="18" customHeight="1" x14ac:dyDescent="0.3">
      <c r="B33" s="107" t="s">
        <v>39</v>
      </c>
      <c r="D33" s="130" t="s">
        <v>40</v>
      </c>
      <c r="F33" s="131" t="s">
        <v>41</v>
      </c>
    </row>
    <row r="34" spans="1:6" ht="18" customHeight="1" x14ac:dyDescent="0.3">
      <c r="D34" s="130" t="s">
        <v>42</v>
      </c>
      <c r="F34" s="131" t="s">
        <v>41</v>
      </c>
    </row>
    <row r="35" spans="1:6" ht="18" customHeight="1" x14ac:dyDescent="0.3"/>
    <row r="36" spans="1:6" ht="18" customHeight="1" x14ac:dyDescent="0.3">
      <c r="A36" s="114" t="s">
        <v>341</v>
      </c>
      <c r="B36" s="115"/>
      <c r="C36" s="115"/>
      <c r="D36" s="115"/>
      <c r="E36" s="115"/>
      <c r="F36" s="115"/>
    </row>
    <row r="37" spans="1:6" ht="18" customHeight="1" x14ac:dyDescent="0.3">
      <c r="B37" s="72" t="s">
        <v>51</v>
      </c>
    </row>
    <row r="38" spans="1:6" ht="18" customHeight="1" x14ac:dyDescent="0.3">
      <c r="B38" s="72" t="s">
        <v>52</v>
      </c>
    </row>
    <row r="39" spans="1:6" ht="18" customHeight="1" x14ac:dyDescent="0.3">
      <c r="B39" s="72" t="s">
        <v>53</v>
      </c>
    </row>
    <row r="41" spans="1:6" ht="15" customHeight="1" x14ac:dyDescent="0.3">
      <c r="A41" s="84" t="s">
        <v>342</v>
      </c>
      <c r="B41" s="85"/>
      <c r="C41" s="85"/>
      <c r="D41" s="85"/>
      <c r="E41" s="85"/>
      <c r="F41" s="85"/>
    </row>
    <row r="42" spans="1:6" x14ac:dyDescent="0.3">
      <c r="B42" s="72" t="s">
        <v>54</v>
      </c>
    </row>
    <row r="43" spans="1:6" x14ac:dyDescent="0.3">
      <c r="B43" s="72" t="s">
        <v>55</v>
      </c>
      <c r="D43" s="94" t="s">
        <v>56</v>
      </c>
    </row>
    <row r="45" spans="1:6" x14ac:dyDescent="0.3">
      <c r="B45" s="72" t="s">
        <v>57</v>
      </c>
      <c r="D45" s="94" t="s">
        <v>58</v>
      </c>
    </row>
    <row r="47" spans="1:6" x14ac:dyDescent="0.3">
      <c r="B47" s="132" t="s">
        <v>59</v>
      </c>
      <c r="D47" s="94" t="s">
        <v>58</v>
      </c>
    </row>
    <row r="48" spans="1:6" x14ac:dyDescent="0.3">
      <c r="B48" s="8"/>
    </row>
    <row r="49" spans="2:2" x14ac:dyDescent="0.3">
      <c r="B49" s="132" t="s">
        <v>60</v>
      </c>
    </row>
    <row r="51" spans="2:2" x14ac:dyDescent="0.3">
      <c r="B51" s="72" t="s">
        <v>343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ACAF-5531-4913-ADD0-0CF559D10033}">
  <dimension ref="A1:L49"/>
  <sheetViews>
    <sheetView topLeftCell="A4" workbookViewId="0">
      <selection activeCell="B19" sqref="B19"/>
    </sheetView>
  </sheetViews>
  <sheetFormatPr baseColWidth="10" defaultColWidth="11.44140625" defaultRowHeight="14.4" x14ac:dyDescent="0.3"/>
  <cols>
    <col min="1" max="1" width="23" customWidth="1"/>
    <col min="2" max="2" width="25.33203125" customWidth="1"/>
    <col min="3" max="11" width="8.5546875" customWidth="1"/>
  </cols>
  <sheetData>
    <row r="1" spans="1:12" ht="15.6" x14ac:dyDescent="0.3">
      <c r="A1" s="148" t="s">
        <v>61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x14ac:dyDescent="0.3">
      <c r="A2" s="149" t="s">
        <v>62</v>
      </c>
      <c r="B2" s="150"/>
      <c r="C2" s="150"/>
      <c r="D2" s="150"/>
      <c r="E2" s="150"/>
      <c r="F2" s="150"/>
      <c r="G2" s="150"/>
      <c r="H2" s="150"/>
      <c r="I2" s="150"/>
      <c r="J2" s="150"/>
      <c r="K2" s="151"/>
    </row>
    <row r="3" spans="1:12" x14ac:dyDescent="0.3">
      <c r="A3" s="152" t="s">
        <v>63</v>
      </c>
      <c r="B3" s="152" t="s">
        <v>64</v>
      </c>
      <c r="C3" s="161" t="s">
        <v>65</v>
      </c>
      <c r="D3" s="162"/>
      <c r="E3" s="162"/>
      <c r="F3" s="162"/>
      <c r="G3" s="162"/>
      <c r="H3" s="162"/>
      <c r="I3" s="162"/>
      <c r="J3" s="162"/>
      <c r="K3" s="163"/>
    </row>
    <row r="4" spans="1:12" ht="43.2" x14ac:dyDescent="0.3">
      <c r="A4" s="152"/>
      <c r="B4" s="152"/>
      <c r="C4" s="22" t="s">
        <v>66</v>
      </c>
      <c r="D4" s="22" t="s">
        <v>67</v>
      </c>
      <c r="E4" s="22" t="s">
        <v>68</v>
      </c>
      <c r="F4" s="22" t="s">
        <v>69</v>
      </c>
      <c r="G4" s="22" t="s">
        <v>70</v>
      </c>
      <c r="H4" s="22" t="s">
        <v>71</v>
      </c>
      <c r="I4" s="22" t="s">
        <v>72</v>
      </c>
      <c r="J4" s="22" t="s">
        <v>73</v>
      </c>
      <c r="K4" s="22" t="s">
        <v>74</v>
      </c>
      <c r="L4" s="58"/>
    </row>
    <row r="5" spans="1:12" x14ac:dyDescent="0.3">
      <c r="A5" s="152"/>
      <c r="B5" s="152"/>
      <c r="C5" s="152" t="s">
        <v>75</v>
      </c>
      <c r="D5" s="152"/>
      <c r="E5" s="152"/>
      <c r="F5" s="152"/>
      <c r="G5" s="152"/>
      <c r="H5" s="152"/>
      <c r="I5" s="152"/>
      <c r="J5" s="152"/>
      <c r="K5" s="152"/>
    </row>
    <row r="6" spans="1:12" ht="30" customHeight="1" x14ac:dyDescent="0.3">
      <c r="A6" s="160" t="s">
        <v>3</v>
      </c>
      <c r="B6" s="21" t="s">
        <v>76</v>
      </c>
      <c r="C6" s="2">
        <v>2.1</v>
      </c>
      <c r="D6" s="2">
        <v>2.1</v>
      </c>
      <c r="E6" s="2">
        <v>2.1</v>
      </c>
      <c r="F6" s="2">
        <v>1.3</v>
      </c>
      <c r="G6" s="2">
        <v>1.3</v>
      </c>
      <c r="H6" s="24">
        <v>0.6</v>
      </c>
      <c r="I6" s="24">
        <v>0.4</v>
      </c>
      <c r="J6" s="24">
        <v>0.3</v>
      </c>
      <c r="K6" s="24">
        <v>0.2</v>
      </c>
      <c r="L6" s="24"/>
    </row>
    <row r="7" spans="1:12" ht="30" customHeight="1" x14ac:dyDescent="0.3">
      <c r="A7" s="160"/>
      <c r="B7" s="21" t="s">
        <v>77</v>
      </c>
      <c r="C7" s="2">
        <v>2.6</v>
      </c>
      <c r="D7" s="2">
        <v>1.4</v>
      </c>
      <c r="E7" s="2">
        <v>1.4</v>
      </c>
      <c r="F7" s="2">
        <v>1.4</v>
      </c>
      <c r="G7" s="24">
        <v>0.8</v>
      </c>
      <c r="H7" s="24">
        <v>0.7</v>
      </c>
      <c r="I7" s="24">
        <v>0.5</v>
      </c>
      <c r="J7" s="24">
        <v>0.3</v>
      </c>
      <c r="K7" s="24">
        <v>0.2</v>
      </c>
      <c r="L7" s="24"/>
    </row>
    <row r="8" spans="1:12" ht="13.5" customHeight="1" x14ac:dyDescent="0.3">
      <c r="A8" s="23"/>
      <c r="B8" s="21"/>
      <c r="C8" s="2"/>
      <c r="D8" s="2"/>
      <c r="E8" s="2"/>
      <c r="F8" s="2"/>
      <c r="G8" s="24"/>
      <c r="H8" s="24"/>
      <c r="I8" s="24"/>
      <c r="J8" s="24"/>
      <c r="K8" s="24"/>
    </row>
    <row r="9" spans="1:12" ht="30.75" customHeight="1" x14ac:dyDescent="0.3">
      <c r="A9" s="160" t="s">
        <v>78</v>
      </c>
      <c r="B9" s="21" t="s">
        <v>79</v>
      </c>
      <c r="C9" s="2">
        <v>2.1</v>
      </c>
      <c r="D9" s="2">
        <v>2.1</v>
      </c>
      <c r="E9" s="2">
        <v>2.1</v>
      </c>
      <c r="F9" s="2">
        <v>2.1</v>
      </c>
      <c r="G9" s="24">
        <v>0.6</v>
      </c>
      <c r="H9" s="24">
        <v>0.6</v>
      </c>
      <c r="I9" s="24">
        <v>0.3</v>
      </c>
      <c r="J9" s="24">
        <v>0.3</v>
      </c>
      <c r="K9" s="24">
        <v>0.2</v>
      </c>
      <c r="L9" s="24"/>
    </row>
    <row r="10" spans="1:12" ht="30.75" customHeight="1" x14ac:dyDescent="0.3">
      <c r="A10" s="160"/>
      <c r="B10" s="21" t="s">
        <v>80</v>
      </c>
      <c r="C10" s="2">
        <v>1</v>
      </c>
      <c r="D10" s="2">
        <v>1</v>
      </c>
      <c r="E10" s="24">
        <v>0.8</v>
      </c>
      <c r="F10" s="24">
        <v>0.7</v>
      </c>
      <c r="G10" s="24">
        <v>0.6</v>
      </c>
      <c r="H10" s="24">
        <v>0.4</v>
      </c>
      <c r="I10" s="24">
        <v>0.3</v>
      </c>
      <c r="J10" s="24">
        <v>0.3</v>
      </c>
      <c r="K10" s="24">
        <v>0.3</v>
      </c>
      <c r="L10" s="24"/>
    </row>
    <row r="11" spans="1:12" ht="15" customHeight="1" x14ac:dyDescent="0.3">
      <c r="A11" s="23"/>
      <c r="B11" s="21"/>
      <c r="C11" s="2"/>
      <c r="D11" s="2"/>
      <c r="E11" s="24"/>
      <c r="F11" s="24"/>
      <c r="G11" s="24"/>
      <c r="H11" s="24"/>
      <c r="I11" s="24"/>
      <c r="J11" s="24"/>
      <c r="K11" s="24"/>
    </row>
    <row r="12" spans="1:12" ht="30.75" customHeight="1" x14ac:dyDescent="0.3">
      <c r="A12" s="157" t="s">
        <v>81</v>
      </c>
      <c r="B12" s="26" t="s">
        <v>82</v>
      </c>
      <c r="C12" s="2">
        <v>1.3</v>
      </c>
      <c r="D12" s="2">
        <v>1.3</v>
      </c>
      <c r="E12" s="2">
        <v>1.3</v>
      </c>
      <c r="F12" s="2">
        <v>1.4</v>
      </c>
      <c r="G12" s="24">
        <v>1</v>
      </c>
      <c r="H12" s="24">
        <v>0.8</v>
      </c>
      <c r="I12" s="24">
        <v>0.6</v>
      </c>
      <c r="J12" s="24">
        <v>0.5</v>
      </c>
      <c r="K12" s="24">
        <v>0.4</v>
      </c>
    </row>
    <row r="13" spans="1:12" ht="30" customHeight="1" x14ac:dyDescent="0.3">
      <c r="A13" s="157"/>
      <c r="B13" s="26" t="s">
        <v>83</v>
      </c>
      <c r="C13" s="4" t="s">
        <v>84</v>
      </c>
      <c r="D13" s="4" t="s">
        <v>84</v>
      </c>
      <c r="E13" s="24">
        <v>1</v>
      </c>
      <c r="F13" s="24">
        <v>0.9</v>
      </c>
      <c r="G13" s="24">
        <v>0.9</v>
      </c>
      <c r="H13" s="24">
        <v>0.7</v>
      </c>
      <c r="I13" s="24">
        <v>0.5</v>
      </c>
      <c r="J13" s="24">
        <v>0.5</v>
      </c>
      <c r="K13" s="24">
        <v>0.4</v>
      </c>
    </row>
    <row r="14" spans="1:12" ht="30" customHeight="1" x14ac:dyDescent="0.3">
      <c r="A14" s="157"/>
      <c r="B14" s="28" t="s">
        <v>85</v>
      </c>
      <c r="C14" s="2">
        <v>2.8</v>
      </c>
      <c r="D14" s="2">
        <v>2.8</v>
      </c>
      <c r="E14" s="2">
        <v>2.8</v>
      </c>
      <c r="F14" s="4" t="s">
        <v>84</v>
      </c>
      <c r="G14" s="4" t="s">
        <v>84</v>
      </c>
      <c r="H14" s="4" t="s">
        <v>84</v>
      </c>
      <c r="I14" s="4" t="s">
        <v>84</v>
      </c>
      <c r="J14" s="4" t="s">
        <v>84</v>
      </c>
      <c r="K14" s="4" t="s">
        <v>84</v>
      </c>
    </row>
    <row r="15" spans="1:12" ht="30.75" customHeight="1" x14ac:dyDescent="0.3">
      <c r="A15" s="157"/>
      <c r="B15" s="28" t="s">
        <v>86</v>
      </c>
      <c r="C15" s="2">
        <v>1.8</v>
      </c>
      <c r="D15" s="2">
        <v>1.8</v>
      </c>
      <c r="E15" s="2">
        <v>1.8</v>
      </c>
      <c r="F15" s="4" t="s">
        <v>84</v>
      </c>
      <c r="G15" s="4" t="s">
        <v>84</v>
      </c>
      <c r="H15" s="4" t="s">
        <v>84</v>
      </c>
      <c r="I15" s="4" t="s">
        <v>84</v>
      </c>
      <c r="J15" s="4" t="s">
        <v>84</v>
      </c>
      <c r="K15" s="4" t="s">
        <v>84</v>
      </c>
    </row>
    <row r="16" spans="1:12" ht="30" customHeight="1" x14ac:dyDescent="0.3">
      <c r="A16" s="157"/>
      <c r="B16" s="28" t="s">
        <v>87</v>
      </c>
      <c r="C16" s="2">
        <v>1.5</v>
      </c>
      <c r="D16" s="2">
        <v>1.5</v>
      </c>
      <c r="E16" s="2">
        <v>1.5</v>
      </c>
      <c r="F16" s="4" t="s">
        <v>84</v>
      </c>
      <c r="G16" s="4" t="s">
        <v>84</v>
      </c>
      <c r="H16" s="4" t="s">
        <v>84</v>
      </c>
      <c r="I16" s="4" t="s">
        <v>84</v>
      </c>
      <c r="J16" s="4" t="s">
        <v>84</v>
      </c>
      <c r="K16" s="4" t="s">
        <v>84</v>
      </c>
    </row>
    <row r="17" spans="1:11" ht="30" customHeight="1" x14ac:dyDescent="0.3">
      <c r="A17" s="157"/>
      <c r="B17" s="28" t="s">
        <v>88</v>
      </c>
      <c r="C17" s="2">
        <v>1.4</v>
      </c>
      <c r="D17" s="2">
        <v>1.4</v>
      </c>
      <c r="E17" s="2">
        <v>1.4</v>
      </c>
      <c r="F17" s="2">
        <v>1.4</v>
      </c>
      <c r="G17" s="29">
        <v>1</v>
      </c>
      <c r="H17" s="24">
        <v>0.8</v>
      </c>
      <c r="I17" s="24">
        <v>0.6</v>
      </c>
      <c r="J17" s="24">
        <v>0.5</v>
      </c>
      <c r="K17" s="24">
        <v>0.4</v>
      </c>
    </row>
    <row r="18" spans="1:11" ht="45" customHeight="1" x14ac:dyDescent="0.3">
      <c r="A18" s="157"/>
      <c r="B18" s="28" t="s">
        <v>89</v>
      </c>
      <c r="C18" s="29">
        <v>3</v>
      </c>
      <c r="D18" s="29">
        <v>3</v>
      </c>
      <c r="E18" s="29">
        <v>3</v>
      </c>
      <c r="F18" s="2">
        <v>1.4</v>
      </c>
      <c r="G18" s="29">
        <v>1</v>
      </c>
      <c r="H18" s="24">
        <v>0.8</v>
      </c>
      <c r="I18" s="24">
        <v>0.7</v>
      </c>
      <c r="J18" s="24">
        <v>0.7</v>
      </c>
      <c r="K18" s="24">
        <v>0.4</v>
      </c>
    </row>
    <row r="19" spans="1:11" ht="32.25" customHeight="1" x14ac:dyDescent="0.3">
      <c r="A19" s="157"/>
      <c r="B19" s="28" t="s">
        <v>90</v>
      </c>
      <c r="C19" s="2">
        <v>2.2000000000000002</v>
      </c>
      <c r="D19" s="2">
        <v>2.2000000000000002</v>
      </c>
      <c r="E19" s="2">
        <v>2.2000000000000002</v>
      </c>
      <c r="F19" s="2">
        <v>1.4</v>
      </c>
      <c r="G19" s="29">
        <v>1</v>
      </c>
      <c r="H19" s="24">
        <v>0.8</v>
      </c>
      <c r="I19" s="24">
        <v>0.6</v>
      </c>
      <c r="J19" s="24">
        <v>0.5</v>
      </c>
      <c r="K19" s="24">
        <v>0.4</v>
      </c>
    </row>
    <row r="20" spans="1:11" ht="15.75" customHeight="1" x14ac:dyDescent="0.3">
      <c r="A20" s="25"/>
      <c r="B20" s="28"/>
      <c r="C20" s="2"/>
      <c r="D20" s="2"/>
      <c r="E20" s="2"/>
      <c r="F20" s="2"/>
      <c r="G20" s="29"/>
      <c r="H20" s="24"/>
      <c r="I20" s="24"/>
      <c r="J20" s="24"/>
      <c r="K20" s="24"/>
    </row>
    <row r="21" spans="1:11" ht="44.25" customHeight="1" x14ac:dyDescent="0.3">
      <c r="A21" s="157" t="s">
        <v>91</v>
      </c>
      <c r="B21" s="26" t="s">
        <v>92</v>
      </c>
      <c r="C21" s="24">
        <v>0.5</v>
      </c>
      <c r="D21" s="24">
        <v>0.5</v>
      </c>
      <c r="E21" s="24">
        <v>0.5</v>
      </c>
      <c r="F21" s="24">
        <v>0.5</v>
      </c>
      <c r="G21" s="24">
        <v>0.5</v>
      </c>
      <c r="H21" s="24">
        <v>0.5</v>
      </c>
      <c r="I21" s="24">
        <v>0.4</v>
      </c>
      <c r="J21" s="24">
        <v>0.4</v>
      </c>
      <c r="K21" s="24">
        <v>0.3</v>
      </c>
    </row>
    <row r="22" spans="1:11" ht="30" customHeight="1" x14ac:dyDescent="0.3">
      <c r="A22" s="157"/>
      <c r="B22" s="26" t="s">
        <v>93</v>
      </c>
      <c r="C22" s="29">
        <v>2</v>
      </c>
      <c r="D22" s="29">
        <v>2</v>
      </c>
      <c r="E22" s="2">
        <v>1.5</v>
      </c>
      <c r="F22" s="2">
        <v>1.4</v>
      </c>
      <c r="G22" s="24">
        <v>0.6</v>
      </c>
      <c r="H22" s="24">
        <v>0.5</v>
      </c>
      <c r="I22" s="24">
        <v>0.4</v>
      </c>
      <c r="J22" s="24">
        <v>0.4</v>
      </c>
      <c r="K22" s="24">
        <v>0.3</v>
      </c>
    </row>
    <row r="23" spans="1:11" ht="15" customHeight="1" x14ac:dyDescent="0.3">
      <c r="A23" s="25"/>
      <c r="B23" s="26"/>
      <c r="C23" s="29"/>
      <c r="D23" s="29"/>
      <c r="E23" s="2"/>
      <c r="F23" s="2"/>
      <c r="G23" s="24"/>
      <c r="H23" s="24"/>
      <c r="I23" s="24"/>
      <c r="J23" s="24"/>
      <c r="K23" s="24"/>
    </row>
    <row r="24" spans="1:11" ht="30" customHeight="1" x14ac:dyDescent="0.3">
      <c r="A24" s="157" t="s">
        <v>94</v>
      </c>
      <c r="B24" s="28" t="s">
        <v>95</v>
      </c>
      <c r="C24" s="2">
        <v>1.6</v>
      </c>
      <c r="D24" s="2">
        <v>1.6</v>
      </c>
      <c r="E24" s="2">
        <v>2.2999999999999998</v>
      </c>
      <c r="F24" s="29">
        <v>1</v>
      </c>
      <c r="G24" s="29">
        <v>1</v>
      </c>
      <c r="H24" s="24">
        <v>0.8</v>
      </c>
      <c r="I24" s="24">
        <v>0.6</v>
      </c>
      <c r="J24" s="24">
        <v>0.6</v>
      </c>
      <c r="K24" s="24">
        <v>0.5</v>
      </c>
    </row>
    <row r="25" spans="1:11" ht="28.8" x14ac:dyDescent="0.3">
      <c r="A25" s="157"/>
      <c r="B25" s="27" t="s">
        <v>96</v>
      </c>
      <c r="C25" s="29">
        <v>1</v>
      </c>
      <c r="D25" s="29">
        <v>1</v>
      </c>
      <c r="E25" s="29">
        <v>1</v>
      </c>
      <c r="F25" s="2">
        <v>0.8</v>
      </c>
      <c r="G25" s="2">
        <v>0.6</v>
      </c>
      <c r="H25" s="24">
        <v>0.6</v>
      </c>
      <c r="I25" s="24">
        <v>0.4</v>
      </c>
      <c r="J25" s="24">
        <v>0.4</v>
      </c>
      <c r="K25" s="24">
        <v>0.4</v>
      </c>
    </row>
    <row r="26" spans="1:11" ht="28.8" x14ac:dyDescent="0.3">
      <c r="A26" s="157"/>
      <c r="B26" s="27" t="s">
        <v>97</v>
      </c>
      <c r="C26" s="2">
        <v>1.6</v>
      </c>
      <c r="D26" s="2">
        <v>1.6</v>
      </c>
      <c r="E26" s="2">
        <v>2.2999999999999998</v>
      </c>
      <c r="F26" s="2">
        <v>1.2</v>
      </c>
      <c r="G26" s="2">
        <v>1.2</v>
      </c>
      <c r="H26" s="24">
        <v>0.8</v>
      </c>
      <c r="I26" s="24">
        <v>0.6</v>
      </c>
      <c r="J26" s="24">
        <v>0.6</v>
      </c>
      <c r="K26" s="24">
        <v>0.5</v>
      </c>
    </row>
    <row r="27" spans="1:11" x14ac:dyDescent="0.3">
      <c r="A27" s="25"/>
      <c r="B27" s="27"/>
      <c r="C27" s="2"/>
      <c r="D27" s="2"/>
      <c r="E27" s="2"/>
      <c r="F27" s="2"/>
      <c r="G27" s="2"/>
      <c r="H27" s="24"/>
      <c r="I27" s="24"/>
      <c r="J27" s="24"/>
      <c r="K27" s="24"/>
    </row>
    <row r="28" spans="1:11" ht="30" customHeight="1" x14ac:dyDescent="0.3">
      <c r="A28" s="160" t="s">
        <v>98</v>
      </c>
      <c r="B28" s="21" t="s">
        <v>99</v>
      </c>
      <c r="C28" s="159">
        <v>4</v>
      </c>
      <c r="D28" s="159"/>
      <c r="E28" s="159"/>
      <c r="F28" s="159"/>
      <c r="G28" s="159"/>
      <c r="H28" s="159"/>
      <c r="I28" s="159"/>
      <c r="J28" s="159"/>
      <c r="K28" s="159"/>
    </row>
    <row r="29" spans="1:11" ht="45.75" customHeight="1" x14ac:dyDescent="0.3">
      <c r="A29" s="160"/>
      <c r="B29" s="26" t="s">
        <v>100</v>
      </c>
      <c r="C29" s="133">
        <v>2.9</v>
      </c>
      <c r="D29" s="133"/>
      <c r="E29" s="133"/>
      <c r="F29" s="133"/>
      <c r="G29" s="133"/>
      <c r="H29" s="133"/>
      <c r="I29" s="133"/>
      <c r="J29" s="133"/>
      <c r="K29" s="133"/>
    </row>
    <row r="31" spans="1:11" x14ac:dyDescent="0.3">
      <c r="A31" s="152" t="s">
        <v>63</v>
      </c>
      <c r="B31" s="152" t="s">
        <v>64</v>
      </c>
      <c r="C31" s="152"/>
      <c r="D31" s="152"/>
      <c r="E31" s="152"/>
      <c r="F31" s="154" t="s">
        <v>101</v>
      </c>
      <c r="G31" s="152" t="s">
        <v>102</v>
      </c>
      <c r="H31" s="152"/>
      <c r="I31" s="152"/>
      <c r="J31" s="152"/>
      <c r="K31" s="152"/>
    </row>
    <row r="32" spans="1:11" ht="15" customHeight="1" x14ac:dyDescent="0.3">
      <c r="A32" s="152"/>
      <c r="B32" s="152"/>
      <c r="C32" s="152"/>
      <c r="D32" s="152"/>
      <c r="E32" s="152"/>
      <c r="F32" s="152"/>
      <c r="G32" s="154" t="s">
        <v>103</v>
      </c>
      <c r="H32" s="154" t="s">
        <v>71</v>
      </c>
      <c r="I32" s="154" t="s">
        <v>72</v>
      </c>
      <c r="J32" s="154" t="s">
        <v>73</v>
      </c>
      <c r="K32" s="154" t="s">
        <v>104</v>
      </c>
    </row>
    <row r="33" spans="1:11" x14ac:dyDescent="0.3">
      <c r="A33" s="152"/>
      <c r="B33" s="152"/>
      <c r="C33" s="152"/>
      <c r="D33" s="152"/>
      <c r="E33" s="152"/>
      <c r="F33" s="152"/>
      <c r="G33" s="152"/>
      <c r="H33" s="152"/>
      <c r="I33" s="152"/>
      <c r="J33" s="154"/>
      <c r="K33" s="154"/>
    </row>
    <row r="34" spans="1:11" x14ac:dyDescent="0.3">
      <c r="A34" s="152"/>
      <c r="B34" s="155"/>
      <c r="C34" s="155"/>
      <c r="D34" s="155"/>
      <c r="E34" s="155"/>
      <c r="F34" s="152"/>
      <c r="G34" s="152"/>
      <c r="H34" s="155"/>
      <c r="I34" s="155"/>
      <c r="J34" s="158"/>
      <c r="K34" s="158"/>
    </row>
    <row r="35" spans="1:11" ht="30" customHeight="1" x14ac:dyDescent="0.3">
      <c r="A35" s="156" t="s">
        <v>105</v>
      </c>
      <c r="B35" s="18" t="s">
        <v>106</v>
      </c>
      <c r="C35" s="20"/>
      <c r="D35" s="20"/>
      <c r="E35" s="19"/>
      <c r="F35" s="53" t="s">
        <v>107</v>
      </c>
      <c r="G35" s="29">
        <v>5</v>
      </c>
      <c r="H35" s="4" t="s">
        <v>84</v>
      </c>
      <c r="I35" s="4" t="s">
        <v>84</v>
      </c>
      <c r="J35" s="4" t="s">
        <v>84</v>
      </c>
      <c r="K35" s="4" t="s">
        <v>84</v>
      </c>
    </row>
    <row r="36" spans="1:11" ht="28.8" x14ac:dyDescent="0.3">
      <c r="A36" s="156"/>
      <c r="B36" s="5"/>
      <c r="C36" s="6"/>
      <c r="D36" s="6"/>
      <c r="E36" s="7"/>
      <c r="F36" s="54" t="s">
        <v>108</v>
      </c>
      <c r="G36" s="2" t="s">
        <v>109</v>
      </c>
      <c r="H36" s="4" t="s">
        <v>84</v>
      </c>
      <c r="I36" s="4" t="s">
        <v>84</v>
      </c>
      <c r="J36" s="4" t="s">
        <v>84</v>
      </c>
      <c r="K36" s="4" t="s">
        <v>84</v>
      </c>
    </row>
    <row r="37" spans="1:11" ht="30" customHeight="1" x14ac:dyDescent="0.3">
      <c r="A37" s="156"/>
      <c r="B37" s="52" t="s">
        <v>110</v>
      </c>
      <c r="C37" s="50"/>
      <c r="D37" s="50"/>
      <c r="E37" s="55"/>
      <c r="F37" s="53" t="s">
        <v>107</v>
      </c>
      <c r="G37" s="2">
        <v>2.7</v>
      </c>
      <c r="H37" s="2">
        <v>2.7</v>
      </c>
      <c r="I37" s="2">
        <v>2.7</v>
      </c>
      <c r="J37" s="2">
        <v>1.6</v>
      </c>
      <c r="K37" s="2">
        <v>1.5</v>
      </c>
    </row>
    <row r="38" spans="1:11" ht="30" customHeight="1" x14ac:dyDescent="0.3">
      <c r="A38" s="156"/>
      <c r="B38" s="56"/>
      <c r="C38" s="51"/>
      <c r="D38" s="51"/>
      <c r="E38" s="57"/>
      <c r="F38" s="54" t="s">
        <v>108</v>
      </c>
      <c r="G38" s="2" t="s">
        <v>111</v>
      </c>
      <c r="H38" s="2" t="s">
        <v>111</v>
      </c>
      <c r="I38" s="2" t="s">
        <v>111</v>
      </c>
      <c r="J38" s="2" t="s">
        <v>112</v>
      </c>
      <c r="K38" s="2" t="s">
        <v>112</v>
      </c>
    </row>
    <row r="39" spans="1:11" ht="30.75" customHeight="1" x14ac:dyDescent="0.3">
      <c r="A39" s="156"/>
      <c r="B39" s="18" t="s">
        <v>113</v>
      </c>
      <c r="C39" s="20"/>
      <c r="D39" s="20"/>
      <c r="E39" s="19"/>
      <c r="F39" s="53" t="s">
        <v>107</v>
      </c>
      <c r="G39" s="29">
        <v>3</v>
      </c>
      <c r="H39" s="29">
        <v>3</v>
      </c>
      <c r="I39" s="29">
        <v>3</v>
      </c>
      <c r="J39" s="2">
        <v>1.9</v>
      </c>
      <c r="K39" s="2">
        <v>1.5</v>
      </c>
    </row>
    <row r="40" spans="1:11" ht="30" customHeight="1" x14ac:dyDescent="0.3">
      <c r="A40" s="156"/>
      <c r="B40" s="5"/>
      <c r="C40" s="6"/>
      <c r="D40" s="6"/>
      <c r="E40" s="7"/>
      <c r="F40" s="54" t="s">
        <v>108</v>
      </c>
      <c r="G40" s="2" t="s">
        <v>111</v>
      </c>
      <c r="H40" s="2" t="s">
        <v>111</v>
      </c>
      <c r="I40" s="2" t="s">
        <v>111</v>
      </c>
      <c r="J40" s="2" t="s">
        <v>112</v>
      </c>
      <c r="K40" s="2" t="s">
        <v>112</v>
      </c>
    </row>
    <row r="41" spans="1:11" ht="30" customHeight="1" x14ac:dyDescent="0.3">
      <c r="A41" s="156"/>
      <c r="B41" s="52" t="s">
        <v>114</v>
      </c>
      <c r="C41" s="50"/>
      <c r="D41" s="50"/>
      <c r="E41" s="55"/>
      <c r="F41" s="53" t="s">
        <v>107</v>
      </c>
      <c r="G41" s="2">
        <v>4.3</v>
      </c>
      <c r="H41" s="2">
        <v>4.3</v>
      </c>
      <c r="I41" s="2">
        <v>3.2</v>
      </c>
      <c r="J41" s="2">
        <v>1.9</v>
      </c>
      <c r="K41" s="2">
        <v>1.5</v>
      </c>
    </row>
    <row r="42" spans="1:11" ht="30.75" customHeight="1" x14ac:dyDescent="0.3">
      <c r="A42" s="156"/>
      <c r="B42" s="56"/>
      <c r="C42" s="51"/>
      <c r="D42" s="51"/>
      <c r="E42" s="57"/>
      <c r="F42" s="54" t="s">
        <v>108</v>
      </c>
      <c r="G42" s="2" t="s">
        <v>111</v>
      </c>
      <c r="H42" s="2" t="s">
        <v>111</v>
      </c>
      <c r="I42" s="2" t="s">
        <v>111</v>
      </c>
      <c r="J42" s="2" t="s">
        <v>112</v>
      </c>
      <c r="K42" s="2" t="s">
        <v>112</v>
      </c>
    </row>
    <row r="43" spans="1:11" x14ac:dyDescent="0.3">
      <c r="A43" t="s">
        <v>115</v>
      </c>
    </row>
    <row r="46" spans="1:11" x14ac:dyDescent="0.3">
      <c r="A46" t="s">
        <v>116</v>
      </c>
    </row>
    <row r="47" spans="1:11" x14ac:dyDescent="0.3">
      <c r="A47" s="153" t="s">
        <v>117</v>
      </c>
      <c r="B47" s="153"/>
      <c r="C47" s="152" t="s">
        <v>118</v>
      </c>
      <c r="D47" s="152"/>
      <c r="E47" s="152" t="s">
        <v>119</v>
      </c>
      <c r="F47" s="152"/>
      <c r="G47" s="152" t="s">
        <v>120</v>
      </c>
      <c r="H47" s="152"/>
    </row>
    <row r="48" spans="1:11" ht="15.6" x14ac:dyDescent="0.35">
      <c r="A48" s="59" t="s">
        <v>121</v>
      </c>
      <c r="B48" s="3"/>
      <c r="C48" s="60">
        <v>0.1</v>
      </c>
      <c r="D48" s="3"/>
      <c r="E48" s="1">
        <v>0.13</v>
      </c>
      <c r="F48" s="3"/>
      <c r="G48" s="1">
        <v>0.17</v>
      </c>
      <c r="H48" s="3"/>
    </row>
    <row r="49" spans="1:8" ht="15.6" x14ac:dyDescent="0.35">
      <c r="A49" s="61" t="s">
        <v>122</v>
      </c>
      <c r="B49" s="62"/>
      <c r="C49" s="63">
        <v>0.04</v>
      </c>
      <c r="D49" s="62"/>
      <c r="E49" s="64">
        <v>0.04</v>
      </c>
      <c r="F49" s="62"/>
      <c r="G49" s="64">
        <v>0.04</v>
      </c>
      <c r="H49" s="62"/>
    </row>
  </sheetData>
  <mergeCells count="28">
    <mergeCell ref="J32:J34"/>
    <mergeCell ref="K32:K34"/>
    <mergeCell ref="A3:A5"/>
    <mergeCell ref="B3:B5"/>
    <mergeCell ref="C28:K28"/>
    <mergeCell ref="C29:K29"/>
    <mergeCell ref="A28:A29"/>
    <mergeCell ref="C3:K3"/>
    <mergeCell ref="C5:K5"/>
    <mergeCell ref="A6:A7"/>
    <mergeCell ref="A9:A10"/>
    <mergeCell ref="A12:A19"/>
    <mergeCell ref="A1:L1"/>
    <mergeCell ref="A2:K2"/>
    <mergeCell ref="C47:D47"/>
    <mergeCell ref="E47:F47"/>
    <mergeCell ref="G47:H47"/>
    <mergeCell ref="A47:B47"/>
    <mergeCell ref="I32:I34"/>
    <mergeCell ref="H32:H34"/>
    <mergeCell ref="G32:G34"/>
    <mergeCell ref="A35:A42"/>
    <mergeCell ref="B31:E34"/>
    <mergeCell ref="A31:A34"/>
    <mergeCell ref="G31:K31"/>
    <mergeCell ref="F31:F34"/>
    <mergeCell ref="A21:A22"/>
    <mergeCell ref="A24:A26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B814-EC3E-4516-8BA6-FFD57D3222DF}">
  <dimension ref="A1:I52"/>
  <sheetViews>
    <sheetView zoomScale="85" zoomScaleNormal="85" workbookViewId="0">
      <selection activeCell="G51" sqref="G51:H51"/>
    </sheetView>
  </sheetViews>
  <sheetFormatPr baseColWidth="10" defaultColWidth="11.44140625" defaultRowHeight="14.4" x14ac:dyDescent="0.3"/>
  <cols>
    <col min="1" max="1" width="29.33203125" customWidth="1"/>
    <col min="2" max="2" width="29" customWidth="1"/>
    <col min="3" max="3" width="22.5546875" customWidth="1"/>
    <col min="4" max="4" width="28.44140625" customWidth="1"/>
    <col min="6" max="6" width="28.6640625" customWidth="1"/>
    <col min="7" max="7" width="28.5546875" customWidth="1"/>
    <col min="8" max="8" width="23.44140625" customWidth="1"/>
    <col min="9" max="9" width="22.88671875" customWidth="1"/>
  </cols>
  <sheetData>
    <row r="1" spans="1:9" ht="15" thickBot="1" x14ac:dyDescent="0.35"/>
    <row r="2" spans="1:9" ht="15.6" x14ac:dyDescent="0.3">
      <c r="A2" s="32" t="s">
        <v>123</v>
      </c>
      <c r="B2" s="165" t="s">
        <v>124</v>
      </c>
      <c r="C2" s="165"/>
      <c r="D2" s="166"/>
    </row>
    <row r="3" spans="1:9" x14ac:dyDescent="0.3">
      <c r="A3" s="11"/>
      <c r="B3" s="9"/>
      <c r="C3" s="9" t="s">
        <v>125</v>
      </c>
      <c r="D3" s="33" t="s">
        <v>126</v>
      </c>
    </row>
    <row r="4" spans="1:9" ht="31.5" customHeight="1" x14ac:dyDescent="0.3">
      <c r="A4" s="11"/>
      <c r="B4" s="157" t="s">
        <v>127</v>
      </c>
      <c r="C4" s="30" t="s">
        <v>128</v>
      </c>
      <c r="D4" s="34">
        <v>1.6</v>
      </c>
    </row>
    <row r="5" spans="1:9" ht="15" customHeight="1" x14ac:dyDescent="0.3">
      <c r="A5" s="11"/>
      <c r="B5" s="157"/>
      <c r="C5" s="30" t="s">
        <v>129</v>
      </c>
      <c r="D5" s="34">
        <v>1.5</v>
      </c>
    </row>
    <row r="6" spans="1:9" ht="15" customHeight="1" x14ac:dyDescent="0.3">
      <c r="A6" s="11"/>
      <c r="B6" s="157"/>
      <c r="C6" s="30" t="s">
        <v>130</v>
      </c>
      <c r="D6" s="34">
        <v>1.4</v>
      </c>
    </row>
    <row r="7" spans="1:9" ht="15" customHeight="1" x14ac:dyDescent="0.3">
      <c r="A7" s="11"/>
      <c r="B7" s="157" t="s">
        <v>131</v>
      </c>
      <c r="C7" s="30" t="s">
        <v>128</v>
      </c>
      <c r="D7" s="34">
        <v>1.4</v>
      </c>
    </row>
    <row r="8" spans="1:9" ht="15" customHeight="1" x14ac:dyDescent="0.3">
      <c r="A8" s="11"/>
      <c r="B8" s="160"/>
      <c r="C8" s="30" t="s">
        <v>132</v>
      </c>
      <c r="D8" s="34">
        <v>1.3</v>
      </c>
    </row>
    <row r="9" spans="1:9" x14ac:dyDescent="0.3">
      <c r="A9" s="11"/>
      <c r="B9" s="30" t="s">
        <v>133</v>
      </c>
      <c r="C9" s="31" t="s">
        <v>134</v>
      </c>
      <c r="D9" s="34">
        <v>1.2</v>
      </c>
    </row>
    <row r="10" spans="1:9" x14ac:dyDescent="0.3">
      <c r="A10" s="11"/>
      <c r="B10" s="157" t="s">
        <v>135</v>
      </c>
      <c r="C10" s="30" t="s">
        <v>136</v>
      </c>
      <c r="D10" s="34">
        <v>0.4</v>
      </c>
    </row>
    <row r="11" spans="1:9" x14ac:dyDescent="0.3">
      <c r="A11" s="11"/>
      <c r="B11" s="160"/>
      <c r="C11" s="30" t="s">
        <v>130</v>
      </c>
      <c r="D11" s="34">
        <v>0.3</v>
      </c>
    </row>
    <row r="12" spans="1:9" x14ac:dyDescent="0.3">
      <c r="A12" s="11"/>
      <c r="B12" s="160" t="s">
        <v>137</v>
      </c>
      <c r="C12" s="30" t="s">
        <v>136</v>
      </c>
      <c r="D12" s="34">
        <v>0.5</v>
      </c>
    </row>
    <row r="13" spans="1:9" ht="15" thickBot="1" x14ac:dyDescent="0.35">
      <c r="A13" s="13"/>
      <c r="B13" s="164"/>
      <c r="C13" s="35" t="s">
        <v>130</v>
      </c>
      <c r="D13" s="36">
        <v>0.4</v>
      </c>
    </row>
    <row r="15" spans="1:9" ht="15" thickBot="1" x14ac:dyDescent="0.35"/>
    <row r="16" spans="1:9" ht="15.6" x14ac:dyDescent="0.3">
      <c r="A16" s="184" t="s">
        <v>138</v>
      </c>
      <c r="B16" s="185"/>
      <c r="C16" s="185"/>
      <c r="D16" s="186"/>
      <c r="F16" s="183" t="s">
        <v>139</v>
      </c>
      <c r="G16" s="143"/>
      <c r="H16" s="143"/>
      <c r="I16" s="144"/>
    </row>
    <row r="17" spans="1:9" ht="15.6" x14ac:dyDescent="0.35">
      <c r="A17" s="169" t="s">
        <v>140</v>
      </c>
      <c r="B17" s="170"/>
      <c r="C17" s="170"/>
      <c r="D17" s="37" t="s">
        <v>141</v>
      </c>
      <c r="F17" s="169" t="s">
        <v>140</v>
      </c>
      <c r="G17" s="170"/>
      <c r="H17" s="170"/>
      <c r="I17" s="37" t="s">
        <v>141</v>
      </c>
    </row>
    <row r="18" spans="1:9" x14ac:dyDescent="0.3">
      <c r="A18" s="172" t="s">
        <v>142</v>
      </c>
      <c r="B18" s="153" t="s">
        <v>143</v>
      </c>
      <c r="C18" s="153"/>
      <c r="D18" s="37">
        <v>1.149</v>
      </c>
      <c r="F18" s="172" t="s">
        <v>142</v>
      </c>
      <c r="G18" s="153" t="s">
        <v>143</v>
      </c>
      <c r="H18" s="153"/>
      <c r="I18" s="37">
        <v>1.149</v>
      </c>
    </row>
    <row r="19" spans="1:9" x14ac:dyDescent="0.3">
      <c r="A19" s="172"/>
      <c r="B19" s="153" t="s">
        <v>144</v>
      </c>
      <c r="C19" s="153"/>
      <c r="D19" s="37">
        <v>1.107</v>
      </c>
      <c r="F19" s="172"/>
      <c r="G19" s="153" t="s">
        <v>144</v>
      </c>
      <c r="H19" s="153"/>
      <c r="I19" s="37">
        <v>1.107</v>
      </c>
    </row>
    <row r="20" spans="1:9" x14ac:dyDescent="0.3">
      <c r="A20" s="172"/>
      <c r="B20" s="149" t="s">
        <v>145</v>
      </c>
      <c r="C20" s="151"/>
      <c r="D20" s="37">
        <v>1.095</v>
      </c>
      <c r="F20" s="172"/>
      <c r="G20" s="149" t="s">
        <v>145</v>
      </c>
      <c r="H20" s="151"/>
      <c r="I20" s="37">
        <v>1.095</v>
      </c>
    </row>
    <row r="21" spans="1:9" x14ac:dyDescent="0.3">
      <c r="A21" s="172"/>
      <c r="B21" s="149" t="s">
        <v>146</v>
      </c>
      <c r="C21" s="151"/>
      <c r="D21" s="37">
        <v>1.083</v>
      </c>
      <c r="F21" s="172"/>
      <c r="G21" s="149" t="s">
        <v>146</v>
      </c>
      <c r="H21" s="151"/>
      <c r="I21" s="37">
        <v>1.083</v>
      </c>
    </row>
    <row r="22" spans="1:9" ht="16.8" x14ac:dyDescent="0.35">
      <c r="A22" s="172"/>
      <c r="B22" s="149" t="s">
        <v>147</v>
      </c>
      <c r="C22" s="151"/>
      <c r="D22" s="37">
        <v>1.042</v>
      </c>
      <c r="F22" s="172"/>
      <c r="G22" s="149" t="s">
        <v>148</v>
      </c>
      <c r="H22" s="151"/>
      <c r="I22" s="37">
        <v>1.042</v>
      </c>
    </row>
    <row r="23" spans="1:9" ht="16.2" x14ac:dyDescent="0.3">
      <c r="A23" s="172"/>
      <c r="B23" s="149" t="s">
        <v>149</v>
      </c>
      <c r="C23" s="151"/>
      <c r="D23" s="37">
        <v>1.042</v>
      </c>
      <c r="F23" s="172"/>
      <c r="G23" s="149" t="s">
        <v>149</v>
      </c>
      <c r="H23" s="151"/>
      <c r="I23" s="37">
        <v>1.042</v>
      </c>
    </row>
    <row r="24" spans="1:9" x14ac:dyDescent="0.3">
      <c r="A24" s="172"/>
      <c r="B24" s="171" t="s">
        <v>150</v>
      </c>
      <c r="C24" s="171"/>
      <c r="D24" s="176">
        <v>1.03</v>
      </c>
      <c r="F24" s="172"/>
      <c r="G24" s="171" t="s">
        <v>150</v>
      </c>
      <c r="H24" s="171"/>
      <c r="I24" s="176">
        <v>1.03</v>
      </c>
    </row>
    <row r="25" spans="1:9" x14ac:dyDescent="0.3">
      <c r="A25" s="172"/>
      <c r="B25" s="171"/>
      <c r="C25" s="171"/>
      <c r="D25" s="176"/>
      <c r="F25" s="172"/>
      <c r="G25" s="171"/>
      <c r="H25" s="171"/>
      <c r="I25" s="176"/>
    </row>
    <row r="26" spans="1:9" ht="16.2" thickBot="1" x14ac:dyDescent="0.35">
      <c r="A26" s="173" t="s">
        <v>151</v>
      </c>
      <c r="B26" s="174"/>
      <c r="C26" s="174"/>
      <c r="D26" s="175"/>
      <c r="F26" s="187" t="s">
        <v>151</v>
      </c>
      <c r="G26" s="188"/>
      <c r="H26" s="188"/>
      <c r="I26" s="189"/>
    </row>
    <row r="27" spans="1:9" ht="15.6" x14ac:dyDescent="0.35">
      <c r="A27" s="167"/>
      <c r="B27" s="168"/>
      <c r="C27" s="168"/>
      <c r="D27" s="41" t="s">
        <v>152</v>
      </c>
      <c r="F27" s="167"/>
      <c r="G27" s="168"/>
      <c r="H27" s="168"/>
      <c r="I27" s="41" t="s">
        <v>152</v>
      </c>
    </row>
    <row r="28" spans="1:9" x14ac:dyDescent="0.3">
      <c r="A28" s="178" t="s">
        <v>34</v>
      </c>
      <c r="B28" s="153" t="s">
        <v>153</v>
      </c>
      <c r="C28" s="153"/>
      <c r="D28" s="38"/>
      <c r="F28" s="179" t="s">
        <v>154</v>
      </c>
      <c r="G28" s="153" t="s">
        <v>155</v>
      </c>
      <c r="H28" s="153"/>
      <c r="I28" s="38"/>
    </row>
    <row r="29" spans="1:9" x14ac:dyDescent="0.3">
      <c r="A29" s="178"/>
      <c r="B29" s="182" t="s">
        <v>156</v>
      </c>
      <c r="C29" s="153"/>
      <c r="D29" s="39">
        <v>2.1000000000000001E-2</v>
      </c>
      <c r="F29" s="195"/>
      <c r="G29" s="153" t="s">
        <v>157</v>
      </c>
      <c r="H29" s="153"/>
      <c r="I29" s="39">
        <v>3.5999999999999997E-2</v>
      </c>
    </row>
    <row r="30" spans="1:9" x14ac:dyDescent="0.3">
      <c r="A30" s="178"/>
      <c r="B30" s="182" t="s">
        <v>158</v>
      </c>
      <c r="C30" s="153"/>
      <c r="D30" s="37">
        <v>1.2E-2</v>
      </c>
      <c r="F30" s="195"/>
      <c r="G30" s="153" t="s">
        <v>159</v>
      </c>
      <c r="H30" s="153"/>
      <c r="I30" s="37">
        <v>2.1000000000000001E-2</v>
      </c>
    </row>
    <row r="31" spans="1:9" x14ac:dyDescent="0.3">
      <c r="A31" s="178"/>
      <c r="B31" s="182" t="s">
        <v>160</v>
      </c>
      <c r="C31" s="153"/>
      <c r="D31" s="37">
        <v>6.0000000000000001E-3</v>
      </c>
      <c r="F31" s="195"/>
      <c r="G31" s="153" t="s">
        <v>161</v>
      </c>
      <c r="H31" s="153"/>
      <c r="I31" s="37">
        <v>1.4999999999999999E-2</v>
      </c>
    </row>
    <row r="32" spans="1:9" x14ac:dyDescent="0.3">
      <c r="A32" s="178"/>
      <c r="B32" s="153" t="s">
        <v>162</v>
      </c>
      <c r="C32" s="153"/>
      <c r="D32" s="37">
        <v>4.4999999999999998E-2</v>
      </c>
      <c r="F32" s="195"/>
      <c r="G32" s="153" t="s">
        <v>163</v>
      </c>
      <c r="H32" s="153"/>
      <c r="I32" s="37">
        <v>1.2E-2</v>
      </c>
    </row>
    <row r="33" spans="1:9" x14ac:dyDescent="0.3">
      <c r="A33" s="178"/>
      <c r="B33" s="153" t="s">
        <v>164</v>
      </c>
      <c r="C33" s="153"/>
      <c r="D33" s="37">
        <v>6.3E-2</v>
      </c>
      <c r="F33" s="195"/>
      <c r="G33" s="153" t="s">
        <v>165</v>
      </c>
      <c r="H33" s="153"/>
      <c r="I33" s="37"/>
    </row>
    <row r="34" spans="1:9" ht="15" thickBot="1" x14ac:dyDescent="0.35">
      <c r="A34" s="179"/>
      <c r="B34" s="177" t="s">
        <v>166</v>
      </c>
      <c r="C34" s="177"/>
      <c r="D34" s="42">
        <v>0</v>
      </c>
      <c r="F34" s="195"/>
      <c r="G34" s="153" t="s">
        <v>157</v>
      </c>
      <c r="H34" s="153"/>
      <c r="I34" s="42">
        <v>4.8000000000000001E-2</v>
      </c>
    </row>
    <row r="35" spans="1:9" ht="15.6" x14ac:dyDescent="0.35">
      <c r="A35" s="167"/>
      <c r="B35" s="168"/>
      <c r="C35" s="168"/>
      <c r="D35" s="43" t="s">
        <v>167</v>
      </c>
      <c r="F35" s="195"/>
      <c r="G35" s="153" t="s">
        <v>159</v>
      </c>
      <c r="H35" s="153"/>
      <c r="I35" s="42">
        <v>3.5999999999999997E-2</v>
      </c>
    </row>
    <row r="36" spans="1:9" ht="17.25" customHeight="1" x14ac:dyDescent="0.3">
      <c r="A36" s="192" t="s">
        <v>168</v>
      </c>
      <c r="B36" s="180" t="s">
        <v>169</v>
      </c>
      <c r="C36" s="180"/>
      <c r="D36" s="190">
        <v>4.2000000000000003E-2</v>
      </c>
      <c r="F36" s="195"/>
      <c r="G36" s="153" t="s">
        <v>166</v>
      </c>
      <c r="H36" s="153"/>
      <c r="I36" s="44">
        <v>6.0000000000000001E-3</v>
      </c>
    </row>
    <row r="37" spans="1:9" ht="18" customHeight="1" thickBot="1" x14ac:dyDescent="0.35">
      <c r="A37" s="192"/>
      <c r="B37" s="180"/>
      <c r="C37" s="180"/>
      <c r="D37" s="190"/>
      <c r="F37" s="196"/>
      <c r="G37" s="194" t="s">
        <v>170</v>
      </c>
      <c r="H37" s="194"/>
      <c r="I37" s="40">
        <v>0</v>
      </c>
    </row>
    <row r="38" spans="1:9" ht="18" customHeight="1" x14ac:dyDescent="0.35">
      <c r="A38" s="192"/>
      <c r="B38" s="180" t="s">
        <v>171</v>
      </c>
      <c r="C38" s="180"/>
      <c r="D38" s="190">
        <v>1.4999999999999999E-2</v>
      </c>
      <c r="F38" s="197"/>
      <c r="G38" s="198"/>
      <c r="H38" s="199"/>
      <c r="I38" s="41" t="s">
        <v>172</v>
      </c>
    </row>
    <row r="39" spans="1:9" ht="18" customHeight="1" x14ac:dyDescent="0.3">
      <c r="A39" s="192"/>
      <c r="B39" s="180"/>
      <c r="C39" s="180"/>
      <c r="D39" s="190"/>
      <c r="F39" s="204" t="s">
        <v>173</v>
      </c>
      <c r="G39" s="153" t="s">
        <v>174</v>
      </c>
      <c r="H39" s="153"/>
      <c r="I39" s="42">
        <v>3.9E-2</v>
      </c>
    </row>
    <row r="40" spans="1:9" ht="17.25" customHeight="1" x14ac:dyDescent="0.3">
      <c r="A40" s="192"/>
      <c r="B40" s="171" t="s">
        <v>175</v>
      </c>
      <c r="C40" s="171"/>
      <c r="D40" s="190">
        <v>3.0000000000000001E-3</v>
      </c>
      <c r="F40" s="195"/>
      <c r="G40" s="153" t="s">
        <v>176</v>
      </c>
      <c r="H40" s="153"/>
      <c r="I40" s="42"/>
    </row>
    <row r="41" spans="1:9" ht="15" thickBot="1" x14ac:dyDescent="0.35">
      <c r="A41" s="193"/>
      <c r="B41" s="181"/>
      <c r="C41" s="181"/>
      <c r="D41" s="191"/>
      <c r="F41" s="195"/>
      <c r="G41" s="182" t="s">
        <v>177</v>
      </c>
      <c r="H41" s="153"/>
      <c r="I41" s="42">
        <v>5.0999999999999997E-2</v>
      </c>
    </row>
    <row r="42" spans="1:9" x14ac:dyDescent="0.3">
      <c r="F42" s="195"/>
      <c r="G42" s="182" t="s">
        <v>178</v>
      </c>
      <c r="H42" s="153"/>
      <c r="I42" s="42">
        <v>3.5999999999999997E-2</v>
      </c>
    </row>
    <row r="43" spans="1:9" ht="15" thickBot="1" x14ac:dyDescent="0.35">
      <c r="F43" s="195"/>
      <c r="G43" s="203" t="s">
        <v>179</v>
      </c>
      <c r="H43" s="177"/>
      <c r="I43" s="42">
        <v>8.9999999999999993E-3</v>
      </c>
    </row>
    <row r="44" spans="1:9" ht="15.6" x14ac:dyDescent="0.35">
      <c r="F44" s="167"/>
      <c r="G44" s="168"/>
      <c r="H44" s="168"/>
      <c r="I44" s="41" t="s">
        <v>180</v>
      </c>
    </row>
    <row r="45" spans="1:9" x14ac:dyDescent="0.3">
      <c r="F45" s="178" t="s">
        <v>181</v>
      </c>
      <c r="G45" s="153" t="s">
        <v>182</v>
      </c>
      <c r="H45" s="153"/>
      <c r="I45" s="42">
        <v>0</v>
      </c>
    </row>
    <row r="46" spans="1:9" ht="15" thickBot="1" x14ac:dyDescent="0.35">
      <c r="F46" s="202"/>
      <c r="G46" s="194" t="s">
        <v>51</v>
      </c>
      <c r="H46" s="194"/>
      <c r="I46" s="46">
        <v>-1.7999999999999999E-2</v>
      </c>
    </row>
    <row r="47" spans="1:9" ht="15.6" x14ac:dyDescent="0.35">
      <c r="F47" s="167"/>
      <c r="G47" s="168"/>
      <c r="H47" s="168"/>
      <c r="I47" s="41" t="s">
        <v>183</v>
      </c>
    </row>
    <row r="48" spans="1:9" ht="15" thickBot="1" x14ac:dyDescent="0.35">
      <c r="F48" s="47" t="s">
        <v>184</v>
      </c>
      <c r="G48" s="205"/>
      <c r="H48" s="205"/>
      <c r="I48" s="40">
        <v>0</v>
      </c>
    </row>
    <row r="49" spans="6:9" ht="15.6" x14ac:dyDescent="0.35">
      <c r="F49" s="167"/>
      <c r="G49" s="168"/>
      <c r="H49" s="168"/>
      <c r="I49" s="41" t="s">
        <v>185</v>
      </c>
    </row>
    <row r="50" spans="6:9" x14ac:dyDescent="0.3">
      <c r="F50" s="178" t="s">
        <v>186</v>
      </c>
      <c r="G50" s="200" t="s">
        <v>187</v>
      </c>
      <c r="H50" s="200"/>
      <c r="I50" s="45">
        <v>-0.03</v>
      </c>
    </row>
    <row r="51" spans="6:9" x14ac:dyDescent="0.3">
      <c r="F51" s="178"/>
      <c r="G51" s="200" t="s">
        <v>188</v>
      </c>
      <c r="H51" s="200"/>
      <c r="I51" s="49">
        <v>-0.06</v>
      </c>
    </row>
    <row r="52" spans="6:9" ht="15" thickBot="1" x14ac:dyDescent="0.35">
      <c r="F52" s="202"/>
      <c r="G52" s="201" t="s">
        <v>189</v>
      </c>
      <c r="H52" s="201"/>
      <c r="I52" s="48">
        <v>-7.1999999999999995E-2</v>
      </c>
    </row>
  </sheetData>
  <mergeCells count="76">
    <mergeCell ref="G50:H50"/>
    <mergeCell ref="G51:H51"/>
    <mergeCell ref="G52:H52"/>
    <mergeCell ref="F50:F52"/>
    <mergeCell ref="G42:H42"/>
    <mergeCell ref="G43:H43"/>
    <mergeCell ref="F39:F43"/>
    <mergeCell ref="F44:H44"/>
    <mergeCell ref="F47:H47"/>
    <mergeCell ref="F49:H49"/>
    <mergeCell ref="F45:F46"/>
    <mergeCell ref="G45:H45"/>
    <mergeCell ref="G46:H46"/>
    <mergeCell ref="G48:H48"/>
    <mergeCell ref="D38:D39"/>
    <mergeCell ref="D40:D41"/>
    <mergeCell ref="A36:A41"/>
    <mergeCell ref="G37:H37"/>
    <mergeCell ref="F28:F37"/>
    <mergeCell ref="F38:H38"/>
    <mergeCell ref="G39:H39"/>
    <mergeCell ref="G40:H40"/>
    <mergeCell ref="G41:H41"/>
    <mergeCell ref="G33:H33"/>
    <mergeCell ref="G34:H34"/>
    <mergeCell ref="G35:H35"/>
    <mergeCell ref="G36:H36"/>
    <mergeCell ref="B36:C37"/>
    <mergeCell ref="D36:D37"/>
    <mergeCell ref="G32:H32"/>
    <mergeCell ref="F27:H27"/>
    <mergeCell ref="G28:H28"/>
    <mergeCell ref="G29:H29"/>
    <mergeCell ref="G30:H30"/>
    <mergeCell ref="G31:H31"/>
    <mergeCell ref="G21:H21"/>
    <mergeCell ref="G22:H22"/>
    <mergeCell ref="G23:H23"/>
    <mergeCell ref="G24:H25"/>
    <mergeCell ref="F26:I26"/>
    <mergeCell ref="F18:F25"/>
    <mergeCell ref="I24:I25"/>
    <mergeCell ref="G20:H20"/>
    <mergeCell ref="F16:I16"/>
    <mergeCell ref="A16:D16"/>
    <mergeCell ref="F17:H17"/>
    <mergeCell ref="G18:H18"/>
    <mergeCell ref="G19:H19"/>
    <mergeCell ref="B34:C34"/>
    <mergeCell ref="A28:A34"/>
    <mergeCell ref="A35:C35"/>
    <mergeCell ref="B38:C39"/>
    <mergeCell ref="B40:C41"/>
    <mergeCell ref="B28:C28"/>
    <mergeCell ref="B29:C29"/>
    <mergeCell ref="B30:C30"/>
    <mergeCell ref="B31:C31"/>
    <mergeCell ref="B32:C32"/>
    <mergeCell ref="B33:C33"/>
    <mergeCell ref="A27:C27"/>
    <mergeCell ref="A17:C17"/>
    <mergeCell ref="B18:C18"/>
    <mergeCell ref="B19:C19"/>
    <mergeCell ref="B24:C25"/>
    <mergeCell ref="A18:A25"/>
    <mergeCell ref="A26:D26"/>
    <mergeCell ref="B21:C21"/>
    <mergeCell ref="B20:C20"/>
    <mergeCell ref="B22:C22"/>
    <mergeCell ref="B23:C23"/>
    <mergeCell ref="D24:D25"/>
    <mergeCell ref="B4:B6"/>
    <mergeCell ref="B7:B8"/>
    <mergeCell ref="B10:B11"/>
    <mergeCell ref="B12:B13"/>
    <mergeCell ref="B2:D2"/>
  </mergeCells>
  <phoneticPr fontId="1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B1D1-96EB-4675-9C50-8A95425CF9B3}">
  <dimension ref="A3:T54"/>
  <sheetViews>
    <sheetView workbookViewId="0">
      <selection activeCell="A26" sqref="A26:H27"/>
    </sheetView>
  </sheetViews>
  <sheetFormatPr baseColWidth="10" defaultColWidth="11.44140625" defaultRowHeight="14.4" x14ac:dyDescent="0.3"/>
  <sheetData>
    <row r="3" spans="1:20" x14ac:dyDescent="0.3">
      <c r="A3" s="206" t="s">
        <v>190</v>
      </c>
      <c r="B3" s="133"/>
      <c r="C3" s="133"/>
      <c r="D3" s="133" t="s">
        <v>191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</row>
    <row r="4" spans="1:20" x14ac:dyDescent="0.3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20" x14ac:dyDescent="0.3">
      <c r="A5" s="133" t="s">
        <v>192</v>
      </c>
      <c r="B5" s="133"/>
      <c r="C5" s="133"/>
      <c r="D5" s="206" t="s">
        <v>193</v>
      </c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20" x14ac:dyDescent="0.3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20" x14ac:dyDescent="0.3">
      <c r="A7" s="133" t="s">
        <v>194</v>
      </c>
      <c r="B7" s="133"/>
      <c r="C7" s="133"/>
      <c r="D7" s="207" t="s">
        <v>195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20" x14ac:dyDescent="0.3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20" x14ac:dyDescent="0.3">
      <c r="A9" s="133" t="s">
        <v>196</v>
      </c>
      <c r="B9" s="133"/>
      <c r="C9" s="133"/>
      <c r="D9" s="133" t="s">
        <v>197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</row>
    <row r="10" spans="1:20" x14ac:dyDescent="0.3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20" x14ac:dyDescent="0.3">
      <c r="A11" s="206" t="s">
        <v>198</v>
      </c>
      <c r="B11" s="133"/>
      <c r="C11" s="133"/>
      <c r="D11" s="207" t="s">
        <v>199</v>
      </c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S11" s="137" t="s">
        <v>200</v>
      </c>
      <c r="T11" s="137"/>
    </row>
    <row r="12" spans="1:20" x14ac:dyDescent="0.3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S12" s="137"/>
      <c r="T12" s="137"/>
    </row>
    <row r="13" spans="1:20" x14ac:dyDescent="0.3">
      <c r="A13" s="145" t="s">
        <v>201</v>
      </c>
      <c r="B13" s="138"/>
      <c r="C13" s="139"/>
      <c r="D13" s="209" t="s">
        <v>202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47"/>
      <c r="S13" s="137" t="s">
        <v>203</v>
      </c>
      <c r="T13" s="137"/>
    </row>
    <row r="14" spans="1:20" x14ac:dyDescent="0.3">
      <c r="A14" s="146"/>
      <c r="B14" s="140"/>
      <c r="C14" s="141"/>
      <c r="D14" s="208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5"/>
      <c r="S14" s="137"/>
      <c r="T14" s="137"/>
    </row>
    <row r="15" spans="1:20" x14ac:dyDescent="0.3">
      <c r="A15" s="133" t="s">
        <v>204</v>
      </c>
      <c r="B15" s="133"/>
      <c r="C15" s="133"/>
      <c r="D15" s="133" t="s">
        <v>205</v>
      </c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</row>
    <row r="16" spans="1:20" x14ac:dyDescent="0.3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</row>
    <row r="17" spans="1:17" x14ac:dyDescent="0.3">
      <c r="A17" s="133" t="s">
        <v>206</v>
      </c>
      <c r="B17" s="133"/>
      <c r="C17" s="133"/>
      <c r="D17" s="133" t="s">
        <v>207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</row>
    <row r="18" spans="1:17" x14ac:dyDescent="0.3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</row>
    <row r="19" spans="1:17" x14ac:dyDescent="0.3">
      <c r="A19" s="145" t="s">
        <v>208</v>
      </c>
      <c r="B19" s="136"/>
      <c r="C19" s="147"/>
      <c r="D19" s="209" t="s">
        <v>209</v>
      </c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47"/>
    </row>
    <row r="20" spans="1:17" x14ac:dyDescent="0.3">
      <c r="A20" s="208"/>
      <c r="B20" s="134"/>
      <c r="C20" s="135"/>
      <c r="D20" s="208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5"/>
    </row>
    <row r="21" spans="1:17" ht="15" customHeight="1" x14ac:dyDescent="0.3">
      <c r="A21" s="145" t="s">
        <v>21</v>
      </c>
      <c r="B21" s="138"/>
      <c r="C21" s="139"/>
      <c r="D21" s="145" t="s">
        <v>210</v>
      </c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47"/>
    </row>
    <row r="22" spans="1:17" x14ac:dyDescent="0.3">
      <c r="A22" s="146"/>
      <c r="B22" s="140"/>
      <c r="C22" s="141"/>
      <c r="D22" s="208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</row>
    <row r="26" spans="1:17" x14ac:dyDescent="0.3">
      <c r="A26" s="137" t="s">
        <v>211</v>
      </c>
      <c r="B26" s="137"/>
      <c r="C26" s="137"/>
      <c r="D26" s="137"/>
      <c r="E26" s="137"/>
      <c r="F26" s="137"/>
      <c r="G26" s="137"/>
      <c r="H26" s="137"/>
    </row>
    <row r="27" spans="1:17" x14ac:dyDescent="0.3">
      <c r="A27" s="137"/>
      <c r="B27" s="137"/>
      <c r="C27" s="137"/>
      <c r="D27" s="137"/>
      <c r="E27" s="137"/>
      <c r="F27" s="137"/>
      <c r="G27" s="137"/>
      <c r="H27" s="137"/>
    </row>
    <row r="35" spans="1:1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54" spans="1:19" x14ac:dyDescent="0.3">
      <c r="A54" s="142"/>
      <c r="B54" s="142"/>
      <c r="C54" s="142"/>
      <c r="D54" s="142"/>
      <c r="E54" s="142"/>
      <c r="F54" s="142"/>
      <c r="G54" s="142"/>
      <c r="H54" s="142"/>
      <c r="L54" s="142"/>
      <c r="M54" s="142"/>
      <c r="N54" s="142"/>
      <c r="O54" s="142"/>
      <c r="P54" s="142"/>
      <c r="Q54" s="142"/>
      <c r="R54" s="142"/>
      <c r="S54" s="142"/>
    </row>
  </sheetData>
  <mergeCells count="25">
    <mergeCell ref="D13:Q14"/>
    <mergeCell ref="A26:H27"/>
    <mergeCell ref="D19:Q20"/>
    <mergeCell ref="A21:C22"/>
    <mergeCell ref="A15:C16"/>
    <mergeCell ref="D15:Q16"/>
    <mergeCell ref="A17:C18"/>
    <mergeCell ref="D17:Q18"/>
    <mergeCell ref="A19:C20"/>
    <mergeCell ref="A3:C4"/>
    <mergeCell ref="D3:Q4"/>
    <mergeCell ref="A5:C6"/>
    <mergeCell ref="D5:Q6"/>
    <mergeCell ref="A54:H54"/>
    <mergeCell ref="L54:S54"/>
    <mergeCell ref="A7:C8"/>
    <mergeCell ref="D7:Q8"/>
    <mergeCell ref="A9:C10"/>
    <mergeCell ref="D9:Q10"/>
    <mergeCell ref="A11:C12"/>
    <mergeCell ref="D11:Q12"/>
    <mergeCell ref="D21:Q22"/>
    <mergeCell ref="S11:T12"/>
    <mergeCell ref="S13:T14"/>
    <mergeCell ref="A13:C14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30dc9a-13ec-446a-8bc1-b4b67c6b6653">
      <Terms xmlns="http://schemas.microsoft.com/office/infopath/2007/PartnerControls"/>
    </lcf76f155ced4ddcb4097134ff3c332f>
    <TaxCatchAll xmlns="2650ce48-f42a-431c-9aaf-4ff256e648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73ED2F7814CC42AC5ED9B57E2EAC3F" ma:contentTypeVersion="19" ma:contentTypeDescription="Ein neues Dokument erstellen." ma:contentTypeScope="" ma:versionID="bcb1ad34620bb842172fd438ab05001c">
  <xsd:schema xmlns:xsd="http://www.w3.org/2001/XMLSchema" xmlns:xs="http://www.w3.org/2001/XMLSchema" xmlns:p="http://schemas.microsoft.com/office/2006/metadata/properties" xmlns:ns2="5530dc9a-13ec-446a-8bc1-b4b67c6b6653" xmlns:ns3="2650ce48-f42a-431c-9aaf-4ff256e64810" targetNamespace="http://schemas.microsoft.com/office/2006/metadata/properties" ma:root="true" ma:fieldsID="e089ce961608b761dc31e5abcce2f776" ns2:_="" ns3:_="">
    <xsd:import namespace="5530dc9a-13ec-446a-8bc1-b4b67c6b6653"/>
    <xsd:import namespace="2650ce48-f42a-431c-9aaf-4ff256e648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0dc9a-13ec-446a-8bc1-b4b67c6b6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e263f607-187b-43f3-9aa6-c4ac18e07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0ce48-f42a-431c-9aaf-4ff256e6481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b028fc-afc0-4ce6-b859-ed8099dc990c}" ma:internalName="TaxCatchAll" ma:showField="CatchAllData" ma:web="2650ce48-f42a-431c-9aaf-4ff256e648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0D0BD-21AB-4BE5-B916-A4383CB941A2}">
  <ds:schemaRefs>
    <ds:schemaRef ds:uri="http://schemas.microsoft.com/office/2006/documentManagement/types"/>
    <ds:schemaRef ds:uri="5530dc9a-13ec-446a-8bc1-b4b67c6b6653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2650ce48-f42a-431c-9aaf-4ff256e6481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04EB58-72A3-4769-A66D-D63C13CB22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0889D5-47B5-4031-A720-CABA3E5A6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30dc9a-13ec-446a-8bc1-b4b67c6b6653"/>
    <ds:schemaRef ds:uri="2650ce48-f42a-431c-9aaf-4ff256e648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Dach-Fenster</vt:lpstr>
      <vt:lpstr>OGD</vt:lpstr>
      <vt:lpstr>AW-Fenster</vt:lpstr>
      <vt:lpstr>UGD</vt:lpstr>
      <vt:lpstr>Heizung</vt:lpstr>
      <vt:lpstr>Kat. 1 U-Wert</vt:lpstr>
      <vt:lpstr>Kat. Heizung</vt:lpstr>
      <vt:lpstr>Formeln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</dc:creator>
  <cp:keywords/>
  <dc:description/>
  <cp:lastModifiedBy>Alexander Soell</cp:lastModifiedBy>
  <cp:revision/>
  <dcterms:created xsi:type="dcterms:W3CDTF">2025-12-16T16:13:46Z</dcterms:created>
  <dcterms:modified xsi:type="dcterms:W3CDTF">2026-02-11T13:06:47Z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0x0101004773ED2F7814CC42AC5ED9B57E2EAC3F</vt:lpwstr>
  </property>
  <property fmtid="{D5CDD505-2E9C-101B-9397-08002B2CF9AE}" pid="3" name="MediaServiceImageTags">
    <vt:lpwstr/>
  </property>
</Properties>
</file>
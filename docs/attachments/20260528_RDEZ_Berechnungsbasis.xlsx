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xl\Downloads\"/>
    </mc:Choice>
  </mc:AlternateContent>
  <xr:revisionPtr revIDLastSave="0" documentId="13_ncr:1_{C78FBD6A-CB8D-4BAB-8E47-60832E86DA63}" xr6:coauthVersionLast="47" xr6:coauthVersionMax="47" xr10:uidLastSave="{00000000-0000-0000-0000-000000000000}"/>
  <bookViews>
    <workbookView xWindow="-108" yWindow="-108" windowWidth="46296" windowHeight="25416" xr2:uid="{703A5D90-4837-49DE-895F-0E1B4E770062}"/>
  </bookViews>
  <sheets>
    <sheet name="Grobkonzept" sheetId="1" r:id="rId1"/>
    <sheet name="Dach-Fenster" sheetId="6" r:id="rId2"/>
    <sheet name="OGD" sheetId="11" r:id="rId3"/>
    <sheet name="AW-Fenster" sheetId="8" r:id="rId4"/>
    <sheet name="UGD" sheetId="10" r:id="rId5"/>
    <sheet name="Heizung" sheetId="5" r:id="rId6"/>
    <sheet name="Berechnungen" sheetId="12" r:id="rId7"/>
    <sheet name="Kat. 1 U-Wert" sheetId="3" r:id="rId8"/>
    <sheet name="Kat. 2 Heizung" sheetId="4" r:id="rId9"/>
    <sheet name="Formeln" sheetId="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4" l="1"/>
  <c r="BA124" i="1"/>
  <c r="BA104" i="1"/>
  <c r="BA91" i="1"/>
  <c r="D64" i="12"/>
  <c r="L16" i="4" l="1"/>
  <c r="L15" i="4"/>
  <c r="S7" i="8"/>
  <c r="H114" i="12"/>
  <c r="F114" i="12"/>
  <c r="F110" i="12"/>
  <c r="F104" i="12"/>
  <c r="AY54" i="1" l="1"/>
  <c r="AD54" i="1" s="1"/>
  <c r="H89" i="12"/>
  <c r="F89" i="12" a="1"/>
  <c r="F89" i="12" s="1"/>
  <c r="D89" i="12"/>
  <c r="L24" i="4"/>
  <c r="L23" i="4"/>
  <c r="L20" i="4"/>
  <c r="L21" i="4"/>
  <c r="L19" i="4"/>
  <c r="L22" i="4"/>
  <c r="L18" i="4"/>
  <c r="L17" i="4"/>
  <c r="L13" i="4"/>
  <c r="BA54" i="1" s="1"/>
  <c r="AF54" i="1" s="1"/>
  <c r="L12" i="4"/>
  <c r="L11" i="4"/>
  <c r="L10" i="4"/>
  <c r="L9" i="4"/>
  <c r="L8" i="4"/>
  <c r="L7" i="4"/>
  <c r="L6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7" i="4"/>
  <c r="J9" i="4"/>
  <c r="J10" i="4"/>
  <c r="J8" i="4"/>
  <c r="J6" i="4"/>
  <c r="B89" i="12" l="1"/>
  <c r="F94" i="12" s="1"/>
  <c r="AB54" i="1"/>
  <c r="T56" i="1" s="1"/>
  <c r="Q59" i="1" s="1"/>
  <c r="BA117" i="1"/>
  <c r="BA105" i="1" s="1"/>
  <c r="BA84" i="1"/>
  <c r="Z15" i="6"/>
  <c r="AA16" i="8"/>
  <c r="BB119" i="1" l="1"/>
  <c r="AK125" i="1"/>
  <c r="AI138" i="1" l="1"/>
  <c r="AD140" i="1" s="1"/>
  <c r="N30" i="6"/>
  <c r="B30" i="12"/>
  <c r="D25" i="12"/>
  <c r="D20" i="12"/>
  <c r="B5" i="12"/>
  <c r="F10" i="12" s="1"/>
  <c r="K19" i="10"/>
  <c r="K23" i="10" s="1"/>
  <c r="P19" i="10"/>
  <c r="Q23" i="10" s="1"/>
  <c r="L37" i="8"/>
  <c r="E38" i="8" s="1"/>
  <c r="L27" i="8"/>
  <c r="L31" i="8" s="1"/>
  <c r="K19" i="11"/>
  <c r="K23" i="11" s="1"/>
  <c r="K36" i="6"/>
  <c r="D37" i="6" s="1"/>
  <c r="K26" i="6"/>
  <c r="D27" i="6" s="1"/>
  <c r="Q27" i="8"/>
  <c r="R31" i="8" s="1"/>
  <c r="P26" i="6"/>
  <c r="Q30" i="6" s="1"/>
  <c r="M26" i="6"/>
  <c r="P19" i="11"/>
  <c r="Q23" i="11" s="1"/>
  <c r="BC131" i="1"/>
  <c r="BA131" i="1"/>
  <c r="AY131" i="1"/>
  <c r="AW131" i="1"/>
  <c r="BC127" i="1"/>
  <c r="AY133" i="1" s="1"/>
  <c r="AU133" i="1" s="1"/>
  <c r="AY135" i="1" s="1"/>
  <c r="AU128" i="1"/>
  <c r="AU127" i="1"/>
  <c r="AO129" i="1"/>
  <c r="AO128" i="1"/>
  <c r="AO127" i="1"/>
  <c r="AH128" i="1"/>
  <c r="AK120" i="1"/>
  <c r="AF121" i="1" s="1"/>
  <c r="AO121" i="1"/>
  <c r="AO120" i="1"/>
  <c r="BC111" i="1"/>
  <c r="BA111" i="1"/>
  <c r="AY111" i="1"/>
  <c r="AW111" i="1"/>
  <c r="BC107" i="1"/>
  <c r="AY113" i="1" s="1"/>
  <c r="AU113" i="1" s="1"/>
  <c r="AY115" i="1" s="1"/>
  <c r="D20" i="11" l="1"/>
  <c r="K30" i="6"/>
  <c r="H30" i="6" s="1"/>
  <c r="H26" i="6" s="1"/>
  <c r="AK118" i="1"/>
  <c r="AH121" i="1" s="1"/>
  <c r="AB121" i="1" s="1"/>
  <c r="F51" i="12"/>
  <c r="B51" i="12" s="1"/>
  <c r="F56" i="12"/>
  <c r="B56" i="12" s="1"/>
  <c r="F15" i="12"/>
  <c r="B15" i="12" s="1"/>
  <c r="B10" i="12"/>
  <c r="D20" i="10"/>
  <c r="E28" i="8"/>
  <c r="AU131" i="1"/>
  <c r="AU111" i="1"/>
  <c r="BA115" i="1" s="1"/>
  <c r="AU115" i="1" s="1"/>
  <c r="AM107" i="1" s="1"/>
  <c r="AO109" i="1"/>
  <c r="AO108" i="1"/>
  <c r="Q63" i="1" l="1"/>
  <c r="P99" i="12"/>
  <c r="P94" i="12"/>
  <c r="H35" i="12"/>
  <c r="B35" i="12" s="1"/>
  <c r="AI140" i="1"/>
  <c r="AH140" i="1" s="1"/>
  <c r="AB140" i="1" s="1"/>
  <c r="F25" i="12"/>
  <c r="B25" i="12" s="1"/>
  <c r="F74" i="12" s="1"/>
  <c r="B74" i="12" s="1"/>
  <c r="F20" i="12"/>
  <c r="B20" i="12" s="1"/>
  <c r="BA135" i="1"/>
  <c r="AU135" i="1" s="1"/>
  <c r="AM128" i="1"/>
  <c r="AI128" i="1" s="1"/>
  <c r="AF128" i="1" s="1"/>
  <c r="AB128" i="1" s="1"/>
  <c r="F61" i="12" l="1"/>
  <c r="B61" i="12" s="1"/>
  <c r="F64" i="12"/>
  <c r="D46" i="12"/>
  <c r="B46" i="12" s="1"/>
  <c r="D40" i="12"/>
  <c r="W72" i="1" s="1"/>
  <c r="AI107" i="1"/>
  <c r="AF107" i="1" s="1"/>
  <c r="AB18" i="8"/>
  <c r="N19" i="8" s="1"/>
  <c r="N37" i="8" s="1"/>
  <c r="AC6" i="8"/>
  <c r="Y12" i="8" s="1"/>
  <c r="U12" i="8" s="1"/>
  <c r="Y14" i="8" s="1"/>
  <c r="AC10" i="8"/>
  <c r="AA10" i="8"/>
  <c r="Y10" i="8"/>
  <c r="W10" i="8"/>
  <c r="M4" i="10"/>
  <c r="F20" i="10" s="1"/>
  <c r="B20" i="10" s="1"/>
  <c r="AB6" i="10"/>
  <c r="X12" i="10" s="1"/>
  <c r="T12" i="10" s="1"/>
  <c r="X14" i="10" s="1"/>
  <c r="AB10" i="10"/>
  <c r="Z10" i="10"/>
  <c r="X10" i="10"/>
  <c r="V10" i="10"/>
  <c r="S8" i="8"/>
  <c r="B64" i="12" l="1"/>
  <c r="N17" i="8"/>
  <c r="AA4" i="8"/>
  <c r="N4" i="8" s="1"/>
  <c r="H7" i="10"/>
  <c r="T10" i="10"/>
  <c r="Z14" i="10" s="1"/>
  <c r="T14" i="10" s="1"/>
  <c r="U10" i="8"/>
  <c r="AA14" i="8" s="1"/>
  <c r="U14" i="8" s="1"/>
  <c r="P6" i="8" s="1"/>
  <c r="I20" i="8"/>
  <c r="AW98" i="1"/>
  <c r="BC98" i="1"/>
  <c r="AB10" i="11"/>
  <c r="V10" i="11"/>
  <c r="AK87" i="1"/>
  <c r="AF88" i="1" s="1"/>
  <c r="BC94" i="1"/>
  <c r="AY100" i="1" s="1"/>
  <c r="AU95" i="1"/>
  <c r="AU94" i="1"/>
  <c r="BA98" i="1"/>
  <c r="AY98" i="1"/>
  <c r="M4" i="11"/>
  <c r="M4" i="6"/>
  <c r="F27" i="6" s="1"/>
  <c r="B27" i="6" s="1"/>
  <c r="X10" i="11"/>
  <c r="Z10" i="11"/>
  <c r="AB6" i="11"/>
  <c r="X12" i="11" s="1"/>
  <c r="T12" i="11" s="1"/>
  <c r="X14" i="11" s="1"/>
  <c r="AO96" i="1"/>
  <c r="AO95" i="1"/>
  <c r="AK92" i="1"/>
  <c r="AH95" i="1" s="1"/>
  <c r="T7" i="11"/>
  <c r="T6" i="11"/>
  <c r="R8" i="11"/>
  <c r="R7" i="11"/>
  <c r="T6" i="10"/>
  <c r="R6" i="10"/>
  <c r="T7" i="10"/>
  <c r="R8" i="10"/>
  <c r="R7" i="10"/>
  <c r="S20" i="8"/>
  <c r="S19" i="8"/>
  <c r="AO88" i="1"/>
  <c r="AO87" i="1"/>
  <c r="AO76" i="1"/>
  <c r="AO75" i="1"/>
  <c r="AW81" i="1"/>
  <c r="BC81" i="1"/>
  <c r="BC79" i="1"/>
  <c r="AW79" i="1"/>
  <c r="V10" i="6"/>
  <c r="R19" i="6"/>
  <c r="AK85" i="1"/>
  <c r="AH88" i="1" s="1"/>
  <c r="BA81" i="1"/>
  <c r="AY81" i="1"/>
  <c r="BA79" i="1"/>
  <c r="AY79" i="1"/>
  <c r="BA73" i="1"/>
  <c r="AJ73" i="1" s="1"/>
  <c r="R18" i="6"/>
  <c r="M18" i="6"/>
  <c r="M16" i="6"/>
  <c r="AB12" i="6"/>
  <c r="Z12" i="6"/>
  <c r="X12" i="6"/>
  <c r="V12" i="6"/>
  <c r="AB10" i="6"/>
  <c r="Z10" i="6"/>
  <c r="X10" i="6"/>
  <c r="R8" i="6"/>
  <c r="R7" i="6"/>
  <c r="Z4" i="6"/>
  <c r="AB70" i="1"/>
  <c r="Y74" i="1" s="1"/>
  <c r="T67" i="1" l="1"/>
  <c r="S59" i="1" s="1"/>
  <c r="H94" i="12"/>
  <c r="J17" i="6"/>
  <c r="F37" i="6"/>
  <c r="B37" i="6" s="1"/>
  <c r="G28" i="8"/>
  <c r="C28" i="8" s="1"/>
  <c r="K8" i="8"/>
  <c r="K20" i="8"/>
  <c r="E20" i="8" s="1"/>
  <c r="G38" i="8"/>
  <c r="C38" i="8" s="1"/>
  <c r="H7" i="11"/>
  <c r="F20" i="11"/>
  <c r="B20" i="11" s="1"/>
  <c r="L6" i="8"/>
  <c r="H17" i="6"/>
  <c r="M36" i="6"/>
  <c r="O7" i="10"/>
  <c r="K7" i="10" s="1"/>
  <c r="AU98" i="1"/>
  <c r="BA102" i="1" s="1"/>
  <c r="AU100" i="1"/>
  <c r="AY102" i="1" s="1"/>
  <c r="T10" i="11"/>
  <c r="Z14" i="11" s="1"/>
  <c r="AB88" i="1"/>
  <c r="AU81" i="1"/>
  <c r="AM80" i="1" s="1"/>
  <c r="AI80" i="1" s="1"/>
  <c r="AU79" i="1"/>
  <c r="AM76" i="1" s="1"/>
  <c r="AI76" i="1" s="1"/>
  <c r="AK77" i="1" s="1"/>
  <c r="AI77" i="1" s="1"/>
  <c r="AF76" i="1" s="1"/>
  <c r="AH76" i="1"/>
  <c r="T12" i="6"/>
  <c r="O11" i="6" s="1"/>
  <c r="K11" i="6" s="1"/>
  <c r="T10" i="6"/>
  <c r="H7" i="6"/>
  <c r="N23" i="10" l="1"/>
  <c r="H23" i="10" s="1"/>
  <c r="H19" i="10" s="1"/>
  <c r="M19" i="10"/>
  <c r="D17" i="6"/>
  <c r="I8" i="8"/>
  <c r="E8" i="8" s="1"/>
  <c r="N27" i="8"/>
  <c r="O31" i="8" s="1"/>
  <c r="I31" i="8" s="1"/>
  <c r="I27" i="8" s="1"/>
  <c r="F7" i="10"/>
  <c r="D7" i="10" s="1"/>
  <c r="AU102" i="1"/>
  <c r="AM95" i="1" s="1"/>
  <c r="AI95" i="1" s="1"/>
  <c r="AF95" i="1" s="1"/>
  <c r="AB95" i="1" s="1"/>
  <c r="O7" i="6"/>
  <c r="K7" i="6" s="1"/>
  <c r="M8" i="6" s="1"/>
  <c r="K8" i="6" s="1"/>
  <c r="F7" i="6" s="1"/>
  <c r="D7" i="6" s="1"/>
  <c r="T14" i="11"/>
  <c r="O7" i="11"/>
  <c r="K7" i="11" s="1"/>
  <c r="M19" i="11" s="1"/>
  <c r="AB76" i="1"/>
  <c r="F7" i="11" l="1"/>
  <c r="D7" i="11" s="1"/>
  <c r="N23" i="11"/>
  <c r="H23" i="11" s="1"/>
  <c r="H19" i="11" s="1"/>
  <c r="AK105" i="1" l="1"/>
  <c r="AH107" i="1" s="1"/>
  <c r="AA74" i="1"/>
  <c r="Y79" i="1" s="1"/>
  <c r="AB107" i="1" l="1"/>
  <c r="W74" i="1" s="1"/>
  <c r="U74" i="1" s="1"/>
  <c r="W79" i="1" l="1"/>
  <c r="U79" i="1" s="1"/>
  <c r="Y72" i="1"/>
  <c r="U72" i="1" s="1"/>
  <c r="F40" i="12"/>
  <c r="B40" i="12" s="1"/>
  <c r="D69" i="12" s="1"/>
  <c r="B69" i="12" s="1"/>
  <c r="T71" i="1" l="1"/>
  <c r="O59" i="1" s="1"/>
  <c r="M59" i="1" s="1"/>
  <c r="D94" i="12"/>
  <c r="B94" i="12" s="1"/>
  <c r="D104" i="12" l="1"/>
  <c r="B104" i="12" s="1"/>
  <c r="D106" i="12" s="1"/>
  <c r="B106" i="12" s="1"/>
  <c r="C63" i="1" s="1"/>
  <c r="D110" i="12"/>
  <c r="B110" i="12" s="1"/>
  <c r="C55" i="1"/>
  <c r="D99" i="12"/>
  <c r="B99" i="12" s="1"/>
  <c r="N99" i="12" s="1"/>
  <c r="L99" i="12" s="1"/>
  <c r="N94" i="12"/>
  <c r="L94" i="12" s="1"/>
  <c r="O63" i="1"/>
  <c r="M63" i="1" s="1"/>
  <c r="J59" i="1"/>
  <c r="H59" i="1" s="1"/>
  <c r="C59" i="1" s="1"/>
  <c r="D114" i="12" l="1"/>
  <c r="B114" i="12" s="1"/>
  <c r="C66" i="1" s="1"/>
  <c r="C71" i="1"/>
  <c r="J63" i="1"/>
  <c r="C56" i="1"/>
  <c r="H63" i="1" l="1"/>
  <c r="C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tc={A2905A51-47CB-48E6-87C8-401F98DD77A1}</author>
    <author>tc={FE005F4F-9B78-4F63-8E9A-F1DA1A017E82}</author>
    <author>tc={04F3D168-F67A-4BB5-89A3-1A483099EA92}</author>
    <author>tc={3056774D-0CD7-427E-A649-914F1E584CC5}</author>
    <author>tc={7C312E80-0EFB-4F63-9FB5-4001CB2D7B9B}</author>
    <author>tc={6F73B315-FA74-4589-A944-2045D3B2E4C4}</author>
    <author>tc={C3C0D628-8C2A-4742-9620-48091BE4FF4E}</author>
    <author>tc={B5220C2B-7926-41CA-8197-F96CC82CC722}</author>
    <author>tc={BD223256-A905-459E-8720-3231A429650F}</author>
    <author>tc={E1594331-A7F5-4311-805C-5001E0EC7EB8}</author>
    <author>tc={C00016C2-7BF5-4C1C-9BDD-6142DA2E4FA4}</author>
    <author>tc={D5E3BE73-B612-47BA-BF38-D7068E762AA7}</author>
    <author>tc={53C25F50-570B-4F54-B38B-552286322285}</author>
    <author>tc={E2A0DE2C-05E8-484E-9236-33404914FF32}</author>
    <author>tc={C94F5835-A486-4C14-B455-F8236C90BC1A}</author>
    <author>tc={7ADD82DB-6196-4878-8D11-D3DC7ED0E86B}</author>
    <author>tc={6AD8EBE0-E6A5-4621-9AA3-E41CD26B0F4D}</author>
    <author>tc={BE7671D5-AAC1-4561-8465-2B1A2A1A4C5B}</author>
    <author>tc={548E33A3-4D1B-4CA6-96EB-876335D2BB6B}</author>
    <author>tc={5ABCAE99-D9F9-4DE4-8F1B-EA1F24BC6403}</author>
    <author>tc={B1E838FF-7605-4410-ACA1-AFECE5850934}</author>
    <author>tc={D305441E-9605-4BDC-A040-AF0CBE52D734}</author>
    <author>tc={F4864A61-5B4C-46A2-958B-E7E71BA5071A}</author>
    <author>tc={4A05E870-4671-47EF-8FAD-A19F7EB7F705}</author>
    <author>tc={435006F1-42AF-44A2-A796-B472C13DC705}</author>
    <author>tc={FE53735A-EFF3-4662-A354-BD63C8540B8A}</author>
    <author>tc={34FE3695-A470-4010-A52E-8567596EF065}</author>
    <author>tc={7150452B-F2C3-4297-B4DA-AEE3BDDE2A90}</author>
    <author>tc={4D861D9B-4F3E-4925-B101-1416F338B48D}</author>
    <author>tc={0A2FE250-3E87-446B-BB77-23CE1DADDBFC}</author>
    <author>Timo Pohlmann</author>
    <author>tc={3666FBA1-11F0-4F0E-B385-80E062560FB7}</author>
    <author>tc={1B5E35E2-87F2-484A-92B1-ED17C275A956}</author>
    <author>tc={1F0A1AE6-3200-4F86-B3A3-5BF1C75C3108}</author>
    <author>tc={344A7644-99A9-465A-B6D1-369C0949B932}</author>
    <author>tc={DF7FC8F9-8389-44E0-8543-0E9874902376}</author>
    <author>tc={CEDCFDF4-9B96-44EB-9899-D4C69C4FC0B1}</author>
    <author>tc={54346D7D-867C-448B-9C3E-106B56C8F57A}</author>
    <author>tc={8A761802-0E9F-4753-A941-AB674CAE970B}</author>
    <author>tc={F19446E3-9472-42AF-9695-E07C2E483815}</author>
  </authors>
  <commentList>
    <comment ref="L59" authorId="0" shapeId="0" xr:uid="{A2905A51-47CB-48E6-87C8-401F98DD77A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</t>
      </text>
    </comment>
    <comment ref="L63" authorId="1" shapeId="0" xr:uid="{FE005F4F-9B78-4F63-8E9A-F1DA1A017E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</t>
      </text>
    </comment>
    <comment ref="C68" authorId="2" shapeId="0" xr:uid="{04F3D168-F67A-4BB5-89A3-1A483099EA9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Kostengrundlage mit Ralf klären</t>
      </text>
    </comment>
    <comment ref="D71" authorId="3" shapeId="0" xr:uid="{3056774D-0CD7-427E-A649-914F1E584C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AB72" authorId="4" shapeId="0" xr:uid="{7C312E80-0EFB-4F63-9FB5-4001CB2D7B9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AO72" authorId="5" shapeId="0" xr:uid="{6F73B315-FA74-4589-A944-2045D3B2E4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BA72" authorId="6" shapeId="0" xr:uid="{C3C0D628-8C2A-4742-9620-48091BE4FF4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J73" authorId="7" shapeId="0" xr:uid="{B5220C2B-7926-41CA-8197-F96CC82CC72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U75" authorId="8" shapeId="0" xr:uid="{BD223256-A905-459E-8720-3231A429650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Kontrollrechnung für Software Testgebäude</t>
      </text>
    </comment>
    <comment ref="AM75" authorId="9" shapeId="0" xr:uid="{E1594331-A7F5-4311-805C-5001E0EC7EB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75" authorId="10" shapeId="0" xr:uid="{C00016C2-7BF5-4C1C-9BDD-6142DA2E4F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AU75" authorId="11" shapeId="0" xr:uid="{D5E3BE73-B612-47BA-BF38-D7068E762AA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AO76" authorId="12" shapeId="0" xr:uid="{53C25F50-570B-4F54-B38B-5522863222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AU76" authorId="13" shapeId="0" xr:uid="{E2A0DE2C-05E8-484E-9236-33404914FF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AU77" authorId="14" shapeId="0" xr:uid="{C94F5835-A486-4C14-B455-F8236C90BC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BC78" authorId="15" shapeId="0" xr:uid="{7ADD82DB-6196-4878-8D11-D3DC7ED0E8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BE78" authorId="16" shapeId="0" xr:uid="{6AD8EBE0-E6A5-4621-9AA3-E41CD26B0F4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BC79" authorId="17" shapeId="0" xr:uid="{BE7671D5-AAC1-4561-8465-2B1A2A1A4C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80" authorId="18" shapeId="0" xr:uid="{548E33A3-4D1B-4CA6-96EB-876335D2BB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BA84" authorId="19" shapeId="0" xr:uid="{5ABCAE99-D9F9-4DE4-8F1B-EA1F24BC640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K85" authorId="20" shapeId="0" xr:uid="{B1E838FF-7605-4410-ACA1-AFECE58509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BA91" authorId="21" shapeId="0" xr:uid="{D305441E-9605-4BDC-A040-AF0CBE52D7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K92" authorId="22" shapeId="0" xr:uid="{F4864A61-5B4C-46A2-958B-E7E71BA507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M94" authorId="23" shapeId="0" xr:uid="{4A05E870-4671-47EF-8FAD-A19F7EB7F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94" authorId="24" shapeId="0" xr:uid="{435006F1-42AF-44A2-A796-B472C13DC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AY96" authorId="25" shapeId="0" xr:uid="{FE53735A-EFF3-4662-A354-BD63C8540B8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BC96" authorId="26" shapeId="0" xr:uid="{34FE3695-A470-4010-A52E-8567596EF06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BC98" authorId="27" shapeId="0" xr:uid="{7150452B-F2C3-4297-B4DA-AEE3BDDE2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104" authorId="28" shapeId="0" xr:uid="{4D861D9B-4F3E-4925-B101-1416F338B4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Timo Pohlmann:
Nettogrundfläche: 133m²
11*7=77m² Grundfläche
7+7+11+11= 36m Umfang
36m*2,75m+0,2m Decke Ø Geschosshöhe = 106,2m²
106,2m²*2 Geschosse = 212,4m²</t>
      </text>
    </comment>
    <comment ref="BC111" authorId="29" shapeId="0" xr:uid="{0A2FE250-3E87-446B-BB77-23CE1DADDBF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117" authorId="30" shapeId="0" xr:uid="{9E8719C8-243C-4072-A767-C564CCE63E90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20% Fensterflächenanteil</t>
        </r>
      </text>
    </comment>
    <comment ref="AD121" authorId="31" shapeId="0" xr:uid="{3666FBA1-11F0-4F0E-B385-80E062560F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BA124" authorId="32" shapeId="0" xr:uid="{1B5E35E2-87F2-484A-92B1-ED17C275A95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M127" authorId="33" shapeId="0" xr:uid="{1F0A1AE6-3200-4F86-B3A3-5BF1C75C310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129" authorId="34" shapeId="0" xr:uid="{344A7644-99A9-465A-B6D1-369C0949B9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BC131" authorId="35" shapeId="0" xr:uid="{DF7FC8F9-8389-44E0-8543-0E987490237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F139" authorId="36" shapeId="0" xr:uid="{CEDCFDF4-9B96-44EB-9899-D4C69C4FC0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AI139" authorId="37" shapeId="0" xr:uid="{54346D7D-867C-448B-9C3E-106B56C8F5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Beheiztes Luftvolumen</t>
      </text>
    </comment>
    <comment ref="AB146" authorId="38" shapeId="0" xr:uid="{8A761802-0E9F-4753-A941-AB674CAE97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unbeheizt?</t>
      </text>
    </comment>
    <comment ref="AB158" authorId="39" shapeId="0" xr:uid="{F19446E3-9472-42AF-9695-E07C2E4838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tc={D298323B-0842-4798-B6F5-B9670EBDECAC}</author>
    <author>tc={17A849A9-7736-415B-BD62-3B621655E34B}</author>
    <author>tc={4FD089F5-DA67-46AD-AB27-A7C5B41ACA62}</author>
    <author>tc={E4AB48EE-C7C2-46D5-9EE0-D5C6E02D65D5}</author>
    <author>tc={D3ED9699-F8AE-4941-9680-34C8AE4CEDEE}</author>
    <author>tc={02E9F9EC-03EB-42CA-BB98-BB1EAC0EA9B5}</author>
    <author>tc={3A64674B-111D-4AE6-A986-0777B57A6982}</author>
    <author>tc={AC5F129D-C695-47B6-ADF2-6B37B522C546}</author>
    <author>tc={3338836B-5056-4179-9E12-FF4E80860E4C}</author>
    <author>tc={06B2C262-A460-4C26-9F80-FCDD37BBFC79}</author>
    <author>tc={A53139A9-E70A-4566-9FB1-0F66ABBEB1C0}</author>
    <author>tc={FC843BA4-FAC3-4A06-9BFE-C9257C1D96FE}</author>
    <author>tc={BE0DDB55-60A2-479C-80BF-0FE56EAF3F34}</author>
    <author>tc={CEFB2E77-7CA5-488B-AF58-0BE17A868CEF}</author>
    <author>tc={8654CF47-C1B6-4488-862B-EAD5EB418097}</author>
    <author>tc={EB47AEDF-257D-4B25-B745-56167A2322CA}</author>
    <author>tc={A1FC5D0F-7D52-4665-8A47-8F4E24A23F75}</author>
  </authors>
  <commentList>
    <comment ref="C3" authorId="0" shapeId="0" xr:uid="{D298323B-0842-4798-B6F5-B9670EBDEC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R3" authorId="1" shapeId="0" xr:uid="{17A849A9-7736-415B-BD62-3B621655E3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Z3" authorId="2" shapeId="0" xr:uid="{4FD089F5-DA67-46AD-AB27-A7C5B41AC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M4" authorId="3" shapeId="0" xr:uid="{E4AB48EE-C7C2-46D5-9EE0-D5C6E02D65D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O6" authorId="4" shapeId="0" xr:uid="{D3ED9699-F8AE-4941-9680-34C8AE4CEDE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T6" authorId="5" shapeId="0" xr:uid="{02E9F9EC-03EB-42CA-BB98-BB1EAC0EA9B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R7" authorId="6" shapeId="0" xr:uid="{3A64674B-111D-4AE6-A986-0777B57A69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T7" authorId="7" shapeId="0" xr:uid="{AC5F129D-C695-47B6-ADF2-6B37B522C5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R8" authorId="8" shapeId="0" xr:uid="{3338836B-5056-4179-9E12-FF4E80860E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T8" authorId="9" shapeId="0" xr:uid="{06B2C262-A460-4C26-9F80-FCDD37BBFC7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 bei Aufdachdämmung (Flachdach)</t>
      </text>
    </comment>
    <comment ref="AB9" authorId="10" shapeId="0" xr:uid="{A53139A9-E70A-4566-9FB1-0F66ABBEB1C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D9" authorId="11" shapeId="0" xr:uid="{FC843BA4-FAC3-4A06-9BFE-C9257C1D96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AB10" authorId="12" shapeId="0" xr:uid="{BE0DDB55-60A2-479C-80BF-0FE56EAF3F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Z11" authorId="13" shapeId="0" xr:uid="{CEFB2E77-7CA5-488B-AF58-0BE17A868C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X13" authorId="14" shapeId="0" xr:uid="{8654CF47-C1B6-4488-862B-EAD5EB4180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Bestand U-Wert</t>
      </text>
    </comment>
    <comment ref="F17" authorId="15" shapeId="0" xr:uid="{EB47AEDF-257D-4B25-B745-56167A2322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H26" authorId="16" shapeId="0" xr:uid="{A1FC5D0F-7D52-4665-8A47-8F4E24A23F7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tc={E72D2769-08A9-473D-A6E8-1620A10EB2DD}</author>
    <author>tc={C5CFA34D-0196-4826-B119-FBD611EE325A}</author>
    <author>tc={C0FDDC62-E04F-47D6-BA3C-D62F9EF593AC}</author>
    <author>tc={27554741-04A5-4A07-A517-6CE6CE5AF26D}</author>
    <author>tc={8D6D3181-CD78-462A-A310-99D6BB21AE31}</author>
    <author>tc={EB3313BC-7945-41D4-9580-27348813102C}</author>
    <author>tc={9A12A69D-022B-4ED1-9197-785B82CBD58D}</author>
    <author>tc={C5668288-2C93-4732-BDF0-E0958A5F0ECC}</author>
  </authors>
  <commentList>
    <comment ref="Z3" authorId="0" shapeId="0" xr:uid="{E72D2769-08A9-473D-A6E8-1620A10EB2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M4" authorId="1" shapeId="0" xr:uid="{C5CFA34D-0196-4826-B119-FBD611EE32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O6" authorId="2" shapeId="0" xr:uid="{C0FDDC62-E04F-47D6-BA3C-D62F9EF593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R6" authorId="3" shapeId="0" xr:uid="{27554741-04A5-4A07-A517-6CE6CE5AF2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X8" authorId="4" shapeId="0" xr:uid="{8D6D3181-CD78-462A-A310-99D6BB21AE3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B8" authorId="5" shapeId="0" xr:uid="{EB3313BC-7945-41D4-9580-2734881310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AB10" authorId="6" shapeId="0" xr:uid="{9A12A69D-022B-4ED1-9197-785B82CBD5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H19" authorId="7" shapeId="0" xr:uid="{C5668288-2C93-4732-BDF0-E0958A5F0E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tc={01142D3C-9AA4-4F77-A98D-28DC1F54A47C}</author>
    <author>tc={9A12A69D-022B-4ED2-9197-785B82CBD58D}</author>
    <author>Timo Pohlmann</author>
    <author>tc={EB47AEDF-257D-4B26-B745-56167A2322CA}</author>
    <author>tc={686876FA-4AE4-4FEE-B03A-4660A3B6CEBE}</author>
  </authors>
  <commentList>
    <comment ref="AA3" authorId="0" shapeId="0" xr:uid="{01142D3C-9AA4-4F77-A98D-28DC1F54A47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Timo Pohlmann:
Nettogrundfläche: 133m²
11*7=77m² Grundfläche
7+7+11+11= 36m Umfang
36m*2,75m+0,2m Decke Ø Geschossumfangfläche = 106,2m²
106,2m²*2 Geschosse = 212,4m²
</t>
      </text>
    </comment>
    <comment ref="AC10" authorId="1" shapeId="0" xr:uid="{10B61E6F-3040-4322-8C19-E78ECA861A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A16" authorId="2" shapeId="0" xr:uid="{A8A9E9A3-0110-4451-BCC4-ED1857AC536D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20% Fensterflächenanteil</t>
        </r>
      </text>
    </comment>
    <comment ref="G20" authorId="3" shapeId="0" xr:uid="{7F0943C3-195D-4322-8446-627ACCA116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I27" authorId="4" shapeId="0" xr:uid="{686876FA-4AE4-4FEE-B03A-4660A3B6CE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tc={E72D2769-08A9-473E-A6E8-1620A10EB2DD}</author>
    <author>tc={C0FDDC62-E04F-47D7-BA3C-D62F9EF593AC}</author>
    <author>tc={D13F50FA-C866-45AA-9283-E271F912CEF7}</author>
    <author>tc={9A12A69D-022B-4ED3-9197-785B82CBD58D}</author>
    <author>tc={4A1684FC-8486-40DF-B950-535612B92DB4}</author>
  </authors>
  <commentList>
    <comment ref="Z3" authorId="0" shapeId="0" xr:uid="{594AC651-B66C-46EC-96B2-65500AD5C9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O6" authorId="1" shapeId="0" xr:uid="{882E5AFD-1588-4430-AE6B-D7EA0BE6901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R8" authorId="2" shapeId="0" xr:uid="{D13F50FA-C866-45AA-9283-E271F912CEF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AB10" authorId="3" shapeId="0" xr:uid="{DE8BB9A0-8838-46C8-A3AA-B80AD331C8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H19" authorId="4" shapeId="0" xr:uid="{4A1684FC-8486-40DF-B950-535612B92DB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tc={1D326541-3F37-4996-851D-E2337A6E413E}</author>
    <author>tc={A851535F-39E5-4C46-A429-943D5E6A8B4D}</author>
    <author>tc={25CB9F68-43C2-414D-A6F3-87480F29859E}</author>
    <author>tc={65D32B68-F32A-4B4B-A440-1C8C7A316266}</author>
    <author>tc={78E17B51-38FE-4F46-A7DB-BAEF3D4CB0A8}</author>
    <author>tc={BDD163D8-E2F6-4ED3-BB6C-52C8B9CD9FD8}</author>
    <author>tc={A2766C54-C0CE-4496-8473-ADE3622320B7}</author>
    <author>tc={4C715B20-832D-4ED8-AB2D-F7D454C66E94}</author>
    <author>tc={B2094F6B-AF46-4D28-B411-CEFC3D9288E1}</author>
    <author>tc={74AE4D76-A303-43D5-8351-69DAC6877EFB}</author>
    <author>tc={4583DE00-7599-4D6F-910B-DE3A83449788}</author>
    <author>tc={26B6FAF8-038F-49D1-8073-E9E94ED823ED}</author>
    <author>tc={F8646A6B-B2F4-4BED-9A84-DF7BF53B5AE6}</author>
    <author>tc={C9C1872E-0004-48AD-BC01-9C4A28F6A1A6}</author>
    <author>tc={250881D3-1AA5-46E7-9BFC-EECD0B43463E}</author>
    <author>tc={C64CA3A2-1A8B-4CC0-AC91-FBBF48FE7F99}</author>
    <author>tc={F2F486FB-B994-4570-BEC6-B33124D26B7D}</author>
  </authors>
  <commentList>
    <comment ref="F5" authorId="0" shapeId="0" xr:uid="{1D326541-3F37-4996-851D-E2337A6E41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 Geschosse á 2,75m+0,20m Decke</t>
      </text>
    </comment>
    <comment ref="F30" authorId="1" shapeId="0" xr:uid="{A851535F-39E5-4C46-A429-943D5E6A8B4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Eingabe des Bsp. Gebäudes
</t>
      </text>
    </comment>
    <comment ref="J45" authorId="2" shapeId="0" xr:uid="{25CB9F68-43C2-414D-A6F3-87480F29859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
</t>
      </text>
    </comment>
    <comment ref="F46" authorId="3" shapeId="0" xr:uid="{65D32B68-F32A-4B4B-A440-1C8C7A3162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</t>
      </text>
    </comment>
    <comment ref="N49" authorId="4" shapeId="0" xr:uid="{78E17B51-38FE-4F46-A7DB-BAEF3D4CB0A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Randbedingungen nach DIN 18599-10 Seite 17</t>
      </text>
    </comment>
    <comment ref="F61" authorId="5" shapeId="0" xr:uid="{BDD163D8-E2F6-4ED3-BB6C-52C8B9CD9FD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Wohnfläche</t>
      </text>
    </comment>
    <comment ref="B66" authorId="6" shapeId="0" xr:uid="{A2766C54-C0CE-4496-8473-ADE3622320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monatl. Sondern jährliche Bilanzierung</t>
      </text>
    </comment>
    <comment ref="F67" authorId="7" shapeId="0" xr:uid="{4C715B20-832D-4ED8-AB2D-F7D454C66E9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Heizgradtage</t>
      </text>
    </comment>
    <comment ref="H67" authorId="8" shapeId="0" xr:uid="{B2094F6B-AF46-4D28-B411-CEFC3D9288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</t>
      </text>
    </comment>
    <comment ref="F69" authorId="9" shapeId="0" xr:uid="{74AE4D76-A303-43D5-8351-69DAC6877EF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
Gradtagszahl</t>
      </text>
    </comment>
    <comment ref="J72" authorId="10" shapeId="0" xr:uid="{4583DE00-7599-4D6F-910B-DE3A8344978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/1000 Umrechnung von Wattstunden in Kilowattstunden</t>
      </text>
    </comment>
    <comment ref="F99" authorId="11" shapeId="0" xr:uid="{26B6FAF8-038F-49D1-8073-E9E94ED823E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
Gas</t>
      </text>
    </comment>
    <comment ref="F105" authorId="12" shapeId="0" xr:uid="{F8646A6B-B2F4-4BED-9A84-DF7BF53B5A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Umrechnungsfaktor</t>
      </text>
    </comment>
    <comment ref="B109" authorId="13" shapeId="0" xr:uid="{C9C1872E-0004-48AD-BC01-9C4A28F6A1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F110" authorId="14" shapeId="0" xr:uid="{250881D3-1AA5-46E7-9BFC-EECD0B4346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Erdgas-Wert</t>
      </text>
    </comment>
    <comment ref="D113" authorId="15" shapeId="0" xr:uid="{C64CA3A2-1A8B-4CC0-AC91-FBBF48FE7F9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F114" authorId="16" shapeId="0" xr:uid="{F2F486FB-B994-4570-BEC6-B33124D26B7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Beispiel Erdgas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tc={FC5F4E1D-F1AB-4980-A40B-BD538F3A61FE}</author>
  </authors>
  <commentList>
    <comment ref="B63" authorId="0" shapeId="0" xr:uid="{FC5F4E1D-F1AB-4980-A40B-BD538F3A61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Ralf nachhören, Faktor evtl bei Rewaq abfragen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<sst xmlns="http://schemas.openxmlformats.org/spreadsheetml/2006/main" count="2098" uniqueCount="700">
  <si>
    <t>Datenstufe 1</t>
  </si>
  <si>
    <t>Datenstufe 2</t>
  </si>
  <si>
    <t>Datenstufe 3</t>
  </si>
  <si>
    <t>Schichtaufbau (U-Wert über Bauteilalter + Dämmschichtdicke (WLG 040))</t>
  </si>
  <si>
    <t>5 x Nutzfläche x Länge der Heizperiode x 0,024 
(Länge der Heizperiode im Durchschnitt 185 Tage)</t>
  </si>
  <si>
    <t>Solare Gewinne</t>
  </si>
  <si>
    <t>Wärmebedarf</t>
  </si>
  <si>
    <t>Transmissionswärmeverlust + Lüftungswärmeverlust</t>
  </si>
  <si>
    <t>∑ (Korrekturfaktor x U-Wert x Bauteilfläche) + (Wärmebrückenzuschlag x Hüllfläche des Gebäudes)</t>
  </si>
  <si>
    <t>Gebäudevolumen x 0,32</t>
  </si>
  <si>
    <t>[Gradtagsfaktor x (Transmissionswärmeverlust + Lüftungswärmeverlust)] - [Nutzungsgrad interner Gewinne x (solare Gewinne + interne Gewinne)]</t>
  </si>
  <si>
    <r>
      <t>Transmissionswärmeverlust
H</t>
    </r>
    <r>
      <rPr>
        <vertAlign val="subscript"/>
        <sz val="11"/>
        <color theme="1"/>
        <rFont val="Aptos Narrow"/>
        <family val="2"/>
        <scheme val="minor"/>
      </rPr>
      <t>T</t>
    </r>
  </si>
  <si>
    <t>Absoluter Wert</t>
  </si>
  <si>
    <t>Flächenbezogen</t>
  </si>
  <si>
    <r>
      <t>spezifischer Transmissionswärmeverlust 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</t>
    </r>
  </si>
  <si>
    <r>
      <t>Transmissionswärmeverlust H</t>
    </r>
    <r>
      <rPr>
        <vertAlign val="subscript"/>
        <sz val="11"/>
        <color theme="1"/>
        <rFont val="Aptos Narrow"/>
        <family val="2"/>
        <scheme val="minor"/>
      </rPr>
      <t xml:space="preserve">T </t>
    </r>
    <r>
      <rPr>
        <sz val="11"/>
        <color theme="1"/>
        <rFont val="Aptos Narrow"/>
        <family val="2"/>
        <scheme val="minor"/>
      </rPr>
      <t>/ thermische Hüllfläche</t>
    </r>
  </si>
  <si>
    <t>Erzeugerart</t>
  </si>
  <si>
    <t>Heizflächen</t>
  </si>
  <si>
    <r>
      <t>Lüftungswärmetransferkoeffizient
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</si>
  <si>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Kleinbuchstaben beziehen sich auf m² / Großbuchstaben beziehen sich auf den Jahreswert</t>
  </si>
  <si>
    <t>Öl-Heizung</t>
  </si>
  <si>
    <t>Standardkessel</t>
  </si>
  <si>
    <t>Niedertemperaturkessel</t>
  </si>
  <si>
    <t>Gas-Heizung</t>
  </si>
  <si>
    <t>Brennwertkessel</t>
  </si>
  <si>
    <t>Biomasseheizung</t>
  </si>
  <si>
    <t>Pellet</t>
  </si>
  <si>
    <t>Hackschnitzel</t>
  </si>
  <si>
    <t>Wärmepumpe</t>
  </si>
  <si>
    <t>Luft-Wasser</t>
  </si>
  <si>
    <t>Luft-Luft</t>
  </si>
  <si>
    <t>Wasser-Wasser</t>
  </si>
  <si>
    <t>Sole-Wasser</t>
  </si>
  <si>
    <t>Baujahr</t>
  </si>
  <si>
    <t>Außentemperatur unter einer festgelegten Heizgrenztemperatur (regional) (Bsp.: dena-Energiepass)</t>
  </si>
  <si>
    <t>Gradtagszahl x Faktor 0,024</t>
  </si>
  <si>
    <t>Gradtagsfaktor
kKh</t>
  </si>
  <si>
    <t>Gradtagszahl Kd/a</t>
  </si>
  <si>
    <r>
      <t>Nutzfläche A</t>
    </r>
    <r>
      <rPr>
        <vertAlign val="subscript"/>
        <sz val="11"/>
        <color theme="1"/>
        <rFont val="Aptos Narrow"/>
        <family val="2"/>
        <scheme val="minor"/>
      </rPr>
      <t>NG</t>
    </r>
  </si>
  <si>
    <t>Jahres-Heizwärmebedarf 
kWh/a</t>
  </si>
  <si>
    <t>∑ (Einstrahlung x Energiedurchlassgrad der Fenster x Fläche X Korrekturfaktoren) pro Himmelsrichtung</t>
  </si>
  <si>
    <t>Interne Wärmegewinne W/m²</t>
  </si>
  <si>
    <t>Durchschnittswerte für die Raumheizung und Warmwasserbereitung (ohne Hilfsenergie)</t>
  </si>
  <si>
    <t>0,34 x Luftwechselrate x beheiztes Luftvolumen
(Luftwechselrate aus DIN 18599 Tabelle 12 - 14)</t>
  </si>
  <si>
    <t>Bestandsanalyse</t>
  </si>
  <si>
    <t>Weiterberechnung der für den Nutzer relevante Ergebnisse</t>
  </si>
  <si>
    <t>Brennstoffverbrauch</t>
  </si>
  <si>
    <t>spez. Brennstoffkosten</t>
  </si>
  <si>
    <t>Erzeugerart über Gebäudealter</t>
  </si>
  <si>
    <t>Gebietszuodnung</t>
  </si>
  <si>
    <t>Warmwasserbereitung</t>
  </si>
  <si>
    <t>[kWh/a]</t>
  </si>
  <si>
    <t>Heizwärmebedarf</t>
  </si>
  <si>
    <t>Dach</t>
  </si>
  <si>
    <t>[m²]</t>
  </si>
  <si>
    <t>U-Wert</t>
  </si>
  <si>
    <t>[W/m²K]</t>
  </si>
  <si>
    <t>OGD</t>
  </si>
  <si>
    <t>AW</t>
  </si>
  <si>
    <t>Fenster/ Türen</t>
  </si>
  <si>
    <t>UGD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</si>
  <si>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[W/K]</t>
    </r>
  </si>
  <si>
    <t>[m³]</t>
  </si>
  <si>
    <t>[kWh/(m²a)]</t>
  </si>
  <si>
    <t>Endenergiebedarf</t>
  </si>
  <si>
    <t>Primärenergiebedarf</t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</si>
  <si>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[kWh/a]</t>
    </r>
  </si>
  <si>
    <t xml:space="preserve">Luftdichtheit Kat. III Bestand </t>
  </si>
  <si>
    <t>ohne offensichtliche Undichtheit</t>
  </si>
  <si>
    <t>absolute Brennstoffkosten</t>
  </si>
  <si>
    <t>Sanierungsempfehlung Gebäudehülle</t>
  </si>
  <si>
    <t>gewünschter Ziel U-Wert</t>
  </si>
  <si>
    <t>Dachsanierung gewünscht (Deckung nicht mehr Stand der Technik)</t>
  </si>
  <si>
    <t>Wunsch Art der Sanierung (Zwischensparren, Aufsparren oder beides)</t>
  </si>
  <si>
    <t>(Bestand)</t>
  </si>
  <si>
    <t>(Sanierungsmaßnahme)</t>
  </si>
  <si>
    <t>Bestandsannahme</t>
  </si>
  <si>
    <t>Wunsch Art der Sanierung</t>
  </si>
  <si>
    <t>(gemäß BEG EM)</t>
  </si>
  <si>
    <t>Keine Eingabe</t>
  </si>
  <si>
    <t>Ausführung Dämmung über Baujahr</t>
  </si>
  <si>
    <t>(&lt;20 Jahre Bewertung als neues Dach)</t>
  </si>
  <si>
    <t>(20-60 Jahre Bewertung als sanierungsbedüftig)</t>
  </si>
  <si>
    <t>(&gt;60 Jahre Bewertung als schon 1x saniert)</t>
  </si>
  <si>
    <t>Annahme Standardwärmedämmung</t>
  </si>
  <si>
    <t>Komplettsanierungsempfehlung über geschätztes Baujahr nach Gebiet</t>
  </si>
  <si>
    <t>Dachsanierung (Ja/Nein)</t>
  </si>
  <si>
    <t>Zeitpunkt der Dachsanierung</t>
  </si>
  <si>
    <t>aus Datenstufe 3 Bestandsaufnahme</t>
  </si>
  <si>
    <t>Gebäude Allgemein</t>
  </si>
  <si>
    <t>Bewohner</t>
  </si>
  <si>
    <t>keine</t>
  </si>
  <si>
    <t>Nutzereingaben</t>
  </si>
  <si>
    <t>Sanierungszustand</t>
  </si>
  <si>
    <t>Alter des Bauteils</t>
  </si>
  <si>
    <t>Dämmung vorhanden</t>
  </si>
  <si>
    <t>Dämmschichtdicke</t>
  </si>
  <si>
    <t>U-Wert Bestand</t>
  </si>
  <si>
    <t>ggf. mit Link zu einem U-Wertrechenr</t>
  </si>
  <si>
    <t>Wärmeleitgruppe</t>
  </si>
  <si>
    <t>Eingabe</t>
  </si>
  <si>
    <t>U-Wert [W/m²K]</t>
  </si>
  <si>
    <t>Außenwand</t>
  </si>
  <si>
    <t>Oberste Geschossdecke (OGD)</t>
  </si>
  <si>
    <t>Fenster/Türen</t>
  </si>
  <si>
    <t>Unterste Geschossdecek (UGD)</t>
  </si>
  <si>
    <t>(schlecht mittel gut)</t>
  </si>
  <si>
    <t>Nutzereingabe der Fläche</t>
  </si>
  <si>
    <t>Berechnung U-Wert über Nutzereingabe der Bauteilschichten</t>
  </si>
  <si>
    <t>Fläche (Hüllflächenanteil)</t>
  </si>
  <si>
    <t>U-Wert gemäß BEG EM</t>
  </si>
  <si>
    <t>Bauteil</t>
  </si>
  <si>
    <t>Konstruktion</t>
  </si>
  <si>
    <t>Dachform</t>
  </si>
  <si>
    <t>bis 
1918</t>
  </si>
  <si>
    <t>1919
bis
1948</t>
  </si>
  <si>
    <t>1949
bis
1957</t>
  </si>
  <si>
    <t>1958
bis
1968</t>
  </si>
  <si>
    <t>1969
bis
1978</t>
  </si>
  <si>
    <t>1979
bis
1983</t>
  </si>
  <si>
    <t>1984
bis
1994</t>
  </si>
  <si>
    <t>1995
bis
2001</t>
  </si>
  <si>
    <t>Pauschalwerte für den Wärmedurchgangskoeffizienten in W/(m²*K)</t>
  </si>
  <si>
    <t>Baualtersklassen</t>
  </si>
  <si>
    <t>Massive Konstruktion</t>
  </si>
  <si>
    <t>Holzkonstruktion</t>
  </si>
  <si>
    <t>Oberste Geschossdecke</t>
  </si>
  <si>
    <t>Massive Decke</t>
  </si>
  <si>
    <t>Holzbalkendecke</t>
  </si>
  <si>
    <t>Außenwand 
massive Konstruktion</t>
  </si>
  <si>
    <t>Zweischalige Wandaufbauten</t>
  </si>
  <si>
    <t>Zweischalige Wand- 
aufbauten mit Dämmung</t>
  </si>
  <si>
    <t>keine
Angabe</t>
  </si>
  <si>
    <t>Massivwand aus Vollziegel
bis 20cm Wandstärke</t>
  </si>
  <si>
    <t>Wie vorstehend, jedoch
20 bis 30cm Wandstärke</t>
  </si>
  <si>
    <t>Massivwand aus Hochlochziegel</t>
  </si>
  <si>
    <t>Sonstige massive Wandaufbauten bis 20cm Wandstärke</t>
  </si>
  <si>
    <t>Sonstige Wandaufbauten über 20cm Wandstärke</t>
  </si>
  <si>
    <t>Außenwand Holzkonstruktion (Fachwerk, Fertighaus)</t>
  </si>
  <si>
    <t>Massivholzwand, Holzrahmen oder Holztafelwand</t>
  </si>
  <si>
    <t>Sonstige Holzkonstruktion</t>
  </si>
  <si>
    <t>Sonstige Bauteile gg. Erdreich oder unbeheizte Räume</t>
  </si>
  <si>
    <t>Kellerdecke 
Stahlbeton massiv</t>
  </si>
  <si>
    <t>Kellerdecke 
als Holzbalkendecke</t>
  </si>
  <si>
    <t>Boden gegen Erdreich,
Stahlbeton massiv</t>
  </si>
  <si>
    <t>Türen</t>
  </si>
  <si>
    <t>Im Wesentlichen aus Metall</t>
  </si>
  <si>
    <t>Im Wesentlichen aus Holz, Holzwerkstoffen oder Kunststoff</t>
  </si>
  <si>
    <t>ab 
2002</t>
  </si>
  <si>
    <t>bis
1978</t>
  </si>
  <si>
    <t>Baualtersklasse</t>
  </si>
  <si>
    <t>Eigen-
schaft</t>
  </si>
  <si>
    <t>Fenster, Fenstertüren</t>
  </si>
  <si>
    <t>Holzfenster, einfach verglast</t>
  </si>
  <si>
    <r>
      <t>U</t>
    </r>
    <r>
      <rPr>
        <vertAlign val="subscript"/>
        <sz val="11"/>
        <color theme="1"/>
        <rFont val="Aptos Narrow"/>
        <family val="2"/>
        <scheme val="minor"/>
      </rPr>
      <t>W</t>
    </r>
  </si>
  <si>
    <t>Glas</t>
  </si>
  <si>
    <t>einfach</t>
  </si>
  <si>
    <t>Holzfenster, zwei Scheiben</t>
  </si>
  <si>
    <t>zweifach</t>
  </si>
  <si>
    <t>MSIV 2</t>
  </si>
  <si>
    <t>MSIV 2 = Mehrscheibenisolierverglasung</t>
  </si>
  <si>
    <t>Kunststofffenster, Isolierverglasung</t>
  </si>
  <si>
    <t>Aluminium- oder Stahlfenster, 
Isolierverglasung</t>
  </si>
  <si>
    <t>Endenergie-Aufwandszahl</t>
  </si>
  <si>
    <t>Standardkessel (auch Holzkessel)</t>
  </si>
  <si>
    <t>Baualter</t>
  </si>
  <si>
    <t>bis 1986</t>
  </si>
  <si>
    <t>1987 - 1994</t>
  </si>
  <si>
    <t>ab 1995</t>
  </si>
  <si>
    <t>Niedertemperaturkessel
Öl / Gas</t>
  </si>
  <si>
    <t>-</t>
  </si>
  <si>
    <t>Einflussparameter</t>
  </si>
  <si>
    <r>
      <t xml:space="preserve">Tabelle 22 - Aufwandszahl für bauteilintegrierten Heizflächen (Flächenheizungen); lichte Raumhöhe </t>
    </r>
    <r>
      <rPr>
        <b/>
        <sz val="12"/>
        <color theme="1"/>
        <rFont val="Aptos Narrow"/>
        <family val="2"/>
      </rPr>
      <t>≤ 4m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</si>
  <si>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</si>
  <si>
    <t>ungeregelt, mit zentraler Zulauftemperaturregelung</t>
  </si>
  <si>
    <t>Führungsraumregelung- oder Ein-Rohr-Heizung</t>
  </si>
  <si>
    <t>Raumtemperaturregelung (elektromechanisch/elektronisch)</t>
  </si>
  <si>
    <t>P-Regler (vor 1988)</t>
  </si>
  <si>
    <r>
      <t>PI-Regler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</si>
  <si>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PID-Regler (mit Optimierungsfunktion, z.B. Anwesenheits-
management, adaptivem Regler)</t>
    </r>
    <r>
      <rPr>
        <vertAlign val="superscript"/>
        <sz val="11"/>
        <color theme="1"/>
        <rFont val="Aptos Narrow"/>
        <family val="2"/>
        <scheme val="minor"/>
      </rPr>
      <t>a</t>
    </r>
  </si>
  <si>
    <t>Raumtemperaturregelung</t>
  </si>
  <si>
    <r>
      <t>Zu- / Abschlag auf Aufwandszahl e</t>
    </r>
    <r>
      <rPr>
        <vertAlign val="subscript"/>
        <sz val="11"/>
        <color theme="1"/>
        <rFont val="Aptos Narrow"/>
        <family val="2"/>
        <scheme val="minor"/>
      </rPr>
      <t>h,ce,0</t>
    </r>
  </si>
  <si>
    <r>
      <t>∆e</t>
    </r>
    <r>
      <rPr>
        <vertAlign val="subscript"/>
        <sz val="11"/>
        <color theme="1"/>
        <rFont val="Aptos Narrow"/>
        <family val="2"/>
      </rPr>
      <t>h,ce,1</t>
    </r>
  </si>
  <si>
    <t>Fußbodenheizung</t>
  </si>
  <si>
    <r>
      <t xml:space="preserve">  </t>
    </r>
    <r>
      <rPr>
        <sz val="11"/>
        <color theme="1"/>
        <rFont val="Aptos Narrow"/>
        <family val="2"/>
        <scheme val="minor"/>
      </rPr>
      <t>Nasssystem</t>
    </r>
  </si>
  <si>
    <r>
      <t xml:space="preserve">  </t>
    </r>
    <r>
      <rPr>
        <sz val="11"/>
        <color theme="1"/>
        <rFont val="Aptos Narrow"/>
        <family val="2"/>
        <scheme val="minor"/>
      </rPr>
      <t>Trockensystem</t>
    </r>
  </si>
  <si>
    <r>
      <t xml:space="preserve">  </t>
    </r>
    <r>
      <rPr>
        <sz val="11"/>
        <color theme="1"/>
        <rFont val="Aptos Narrow"/>
        <family val="2"/>
        <scheme val="minor"/>
      </rPr>
      <t>System mit niedriger Bedeckung</t>
    </r>
  </si>
  <si>
    <t>Wandheizung</t>
  </si>
  <si>
    <t>Deckenheizung</t>
  </si>
  <si>
    <t>Heizungsanlage in Verbindung mit mechanischer Lüftung</t>
  </si>
  <si>
    <t>System</t>
  </si>
  <si>
    <r>
      <t>∆e</t>
    </r>
    <r>
      <rPr>
        <vertAlign val="subscript"/>
        <sz val="11"/>
        <color theme="1"/>
        <rFont val="Aptos Narrow"/>
        <family val="2"/>
        <scheme val="minor"/>
      </rPr>
      <t>h,ce,2</t>
    </r>
  </si>
  <si>
    <t>integrierte Heizfläche ohne Mindestdämmung nach 
DIN EN 1264 (alle Teile)</t>
  </si>
  <si>
    <t>integrierte Heizfläche mit Mindestdämmung nach 
DIN EN 1264 (alle Teile)</t>
  </si>
  <si>
    <t>integrierte Heizfläche einer 100% besseren Dämmung als nach DIN EN 1264 (alle Teile) gefordert</t>
  </si>
  <si>
    <t>Aufwandszahl für freie Heizflächen - Raumhöhe ≤ 4m</t>
  </si>
  <si>
    <r>
      <t>P-Regler</t>
    </r>
    <r>
      <rPr>
        <vertAlign val="superscript"/>
        <sz val="11"/>
        <color theme="1"/>
        <rFont val="Aptos Narrow"/>
        <family val="2"/>
        <scheme val="minor"/>
      </rPr>
      <t>a</t>
    </r>
  </si>
  <si>
    <t>Zwei-Rohr-Heizung und Ein-Rohr-Heizung, erneuert</t>
  </si>
  <si>
    <t>60K (z.B. 90°C / 70°C)</t>
  </si>
  <si>
    <r>
      <t xml:space="preserve">P-Regler, 2-Punkt-Regler (Hysterese </t>
    </r>
    <r>
      <rPr>
        <sz val="11"/>
        <color theme="1"/>
        <rFont val="Aptos Narrow"/>
        <family val="2"/>
      </rPr>
      <t xml:space="preserve">≤ </t>
    </r>
    <r>
      <rPr>
        <sz val="12.65"/>
        <color theme="1"/>
        <rFont val="Aptos Narrow"/>
        <family val="2"/>
      </rPr>
      <t>0,5K</t>
    </r>
  </si>
  <si>
    <t>42,5K (z.B. 70°C / 55°C)</t>
  </si>
  <si>
    <t>30K (z.B. 55°C / 45°C)</t>
  </si>
  <si>
    <t>20K (z.B. 45°C / 35°C)</t>
  </si>
  <si>
    <t>Ein-Rohr-Heizung (nicht erneuert)</t>
  </si>
  <si>
    <t>Radiatoren mit Gebläse</t>
  </si>
  <si>
    <t>Übertemperatur</t>
  </si>
  <si>
    <r>
      <t>∆e</t>
    </r>
    <r>
      <rPr>
        <vertAlign val="subscript"/>
        <sz val="11"/>
        <color theme="1"/>
        <rFont val="Aptos Narrow"/>
        <family val="2"/>
      </rPr>
      <t>h,ce,2</t>
    </r>
  </si>
  <si>
    <t>Radiatorenposition Innenwand</t>
  </si>
  <si>
    <t>Radiatorenposition Außenwand</t>
  </si>
  <si>
    <r>
      <t xml:space="preserve">  </t>
    </r>
    <r>
      <rPr>
        <sz val="11"/>
        <color theme="1"/>
        <rFont val="Aptos Narrow"/>
        <family val="2"/>
        <scheme val="minor"/>
      </rPr>
      <t>Glasfläche ohne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</si>
  <si>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Glasfläche mit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</si>
  <si>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Außenwand</t>
    </r>
  </si>
  <si>
    <t>spezifische Wärmeverlust 
über Außenbauteile
(GF = Glasfläche)</t>
  </si>
  <si>
    <r>
      <t>∆e</t>
    </r>
    <r>
      <rPr>
        <vertAlign val="subscript"/>
        <sz val="11"/>
        <color theme="1"/>
        <rFont val="Aptos Narrow"/>
        <family val="2"/>
      </rPr>
      <t>h,ce,3</t>
    </r>
  </si>
  <si>
    <r>
      <t>∆e</t>
    </r>
    <r>
      <rPr>
        <vertAlign val="subscript"/>
        <sz val="11"/>
        <color theme="1"/>
        <rFont val="Aptos Narrow"/>
        <family val="2"/>
      </rPr>
      <t>h,ce,4</t>
    </r>
  </si>
  <si>
    <r>
      <t>∆e</t>
    </r>
    <r>
      <rPr>
        <vertAlign val="subscript"/>
        <sz val="11"/>
        <color theme="1"/>
        <rFont val="Aptos Narrow"/>
        <family val="2"/>
      </rPr>
      <t>h,ce,5</t>
    </r>
  </si>
  <si>
    <r>
      <t>intermittierender Betrieb</t>
    </r>
    <r>
      <rPr>
        <vertAlign val="superscript"/>
        <sz val="11"/>
        <color theme="1"/>
        <rFont val="Aptos Narrow"/>
        <family val="2"/>
        <scheme val="minor"/>
      </rPr>
      <t>b</t>
    </r>
  </si>
  <si>
    <t>Regler</t>
  </si>
  <si>
    <t>Heizkörper</t>
  </si>
  <si>
    <t>erhöhte Strahlung</t>
  </si>
  <si>
    <t>eigenständig</t>
  </si>
  <si>
    <t>eigenständig mit selbstständiger Start/Stopp-Anpassung</t>
  </si>
  <si>
    <t>Netzwerkbetrieb mit selbstständiger Anpassung und Interaktion</t>
  </si>
  <si>
    <t>Einzelraumregelsystem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</si>
  <si>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 [W/m²K]</t>
    </r>
  </si>
  <si>
    <t>Fläche A [m²]</t>
  </si>
  <si>
    <t>*</t>
  </si>
  <si>
    <t>∑R (Dicke [m]</t>
  </si>
  <si>
    <t>/</t>
  </si>
  <si>
    <t>Zwischensparren Dicke</t>
  </si>
  <si>
    <t>[m]</t>
  </si>
  <si>
    <t xml:space="preserve">Festgelegt WLG </t>
  </si>
  <si>
    <t>Festgelegt WLG</t>
  </si>
  <si>
    <t>+</t>
  </si>
  <si>
    <t>U</t>
  </si>
  <si>
    <t>=</t>
  </si>
  <si>
    <t>A</t>
  </si>
  <si>
    <t>F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</si>
  <si>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</si>
  <si>
    <t xml:space="preserve">Beispiel: </t>
  </si>
  <si>
    <t>Baujahr Grunddaten
Vorgabe DIN 4108 ohne Berechnung oder Gleichwertigkeitsnachweis</t>
  </si>
  <si>
    <t>pauschal</t>
  </si>
  <si>
    <r>
      <t>∑H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</si>
  <si>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∆U</t>
    </r>
    <r>
      <rPr>
        <vertAlign val="subscript"/>
        <sz val="11"/>
        <color theme="1"/>
        <rFont val="Aptos Narrow"/>
        <family val="2"/>
        <scheme val="minor"/>
      </rPr>
      <t>WB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</si>
  <si>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ges</t>
    </r>
  </si>
  <si>
    <t xml:space="preserve">umfassungsflächenbezogener 
Transmissionswärmeverlust 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</si>
  <si>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</si>
  <si>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' </t>
    </r>
  </si>
  <si>
    <t>Dachfenster</t>
  </si>
  <si>
    <t>Angabe des U-Werts über Nutzereingabe</t>
  </si>
  <si>
    <t>Dachfläche - Dachfensterfläche:</t>
  </si>
  <si>
    <t>A =</t>
  </si>
  <si>
    <t>2002
bis
2006</t>
  </si>
  <si>
    <t>Quelle: Bundesanzeiger - Bekanntmachung der Regeln zur Datenaufnahme und Datenverwendung im Wohngebäudebestand vom 08. Oktober 2020</t>
  </si>
  <si>
    <t>Tabelle 2: Pauschalwerte für den Wärmedurchgangskoeffizienten</t>
  </si>
  <si>
    <t>Tabelle: Wärmeübergangswiderstände (R-Werte Rsi und Rse) für an Außenluft grenzende Räume</t>
  </si>
  <si>
    <r>
      <t>R</t>
    </r>
    <r>
      <rPr>
        <vertAlign val="subscript"/>
        <sz val="11"/>
        <color theme="1"/>
        <rFont val="Aptos Narrow"/>
        <family val="2"/>
        <scheme val="minor"/>
      </rPr>
      <t>si</t>
    </r>
  </si>
  <si>
    <t>Wärmeübergangswiderstand</t>
  </si>
  <si>
    <t>aufwärts</t>
  </si>
  <si>
    <t>horizontal</t>
  </si>
  <si>
    <t>abwärts</t>
  </si>
  <si>
    <r>
      <t>R</t>
    </r>
    <r>
      <rPr>
        <vertAlign val="subscript"/>
        <sz val="11"/>
        <color theme="1"/>
        <rFont val="Aptos Narrow"/>
        <family val="2"/>
        <scheme val="minor"/>
      </rPr>
      <t>se</t>
    </r>
  </si>
  <si>
    <t>Rsi</t>
  </si>
  <si>
    <t>Rse</t>
  </si>
  <si>
    <t>Rse)</t>
  </si>
  <si>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 xml:space="preserve"> [W/mK])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</si>
  <si>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)</t>
    </r>
  </si>
  <si>
    <t>Minderungsfaktor</t>
  </si>
  <si>
    <r>
      <rPr>
        <sz val="11"/>
        <color theme="1"/>
        <rFont val="Aptos Narrow"/>
        <family val="2"/>
      </rPr>
      <t>(</t>
    </r>
    <r>
      <rPr>
        <sz val="11"/>
        <color theme="1"/>
        <rFont val="Aptos Narrow"/>
        <family val="2"/>
        <scheme val="minor"/>
      </rPr>
      <t>1</t>
    </r>
  </si>
  <si>
    <t>Dachfenster saniert</t>
  </si>
  <si>
    <t>Fenstertausch über geschätztes Baujahr nach Gebiet</t>
  </si>
  <si>
    <t>Fenstertausch über Baujahr nach Nutzer</t>
  </si>
  <si>
    <t>Dachfenstertausch (Ja/Nein)</t>
  </si>
  <si>
    <t>Dachfenstertausch über geschätztes Baujahr nach Gebiet</t>
  </si>
  <si>
    <t>Dachfenstertausch über Baujahr nach Nutzer</t>
  </si>
  <si>
    <t>Dachfenstertausch gewünscht</t>
  </si>
  <si>
    <t>Zeitpunkt des Dachfenstertausches</t>
  </si>
  <si>
    <t>(&lt;10 Jahre Bewertung als neue Fenster)</t>
  </si>
  <si>
    <t>Dach saniert (beheizt)</t>
  </si>
  <si>
    <t>OGD saniert (unbeheiztes Dach)</t>
  </si>
  <si>
    <t>Komplettsanierungsempfehlung über Baujahr nach Nutzer</t>
  </si>
  <si>
    <t>Sanierungsempfehlung über geschätztes Baujahr nach Gebiet</t>
  </si>
  <si>
    <t>Sanierungsempfehlung über Baujahr nach Nutzer</t>
  </si>
  <si>
    <t>OGD Sanierung gewünscht</t>
  </si>
  <si>
    <t>(&lt;20 Jahre Bewertung als neue OGD)</t>
  </si>
  <si>
    <t>OGD Sanierung (Ja/Nein)</t>
  </si>
  <si>
    <t>Zeitpunkt der OGD Sanierung</t>
  </si>
  <si>
    <t>AW saniert</t>
  </si>
  <si>
    <t>Platzhalter für Kosten</t>
  </si>
  <si>
    <t>(10-20 Jahre Bewertung als neuere Fenster)</t>
  </si>
  <si>
    <t>(20-60 Jahre Bewertung als sanierungsbedürftig)</t>
  </si>
  <si>
    <t>AW Sanierung gewünscht</t>
  </si>
  <si>
    <t>AW-Sanierung (Ja/Nein)</t>
  </si>
  <si>
    <t>(&lt;40 Jahre Bewertung als gedämmte Fassade)</t>
  </si>
  <si>
    <t>(&gt;40 Jahre Bewertung als ungedämmte Fassade)</t>
  </si>
  <si>
    <t>Zeitpunkt der AW Sanierung</t>
  </si>
  <si>
    <t>Fenster saniert</t>
  </si>
  <si>
    <t>Fenstertausch (Ja/Nein)</t>
  </si>
  <si>
    <t>Zeitpunkt des Fenstertausches</t>
  </si>
  <si>
    <t>UGD saniert</t>
  </si>
  <si>
    <t>UGD Sanierung gewünscht</t>
  </si>
  <si>
    <t>(&lt;40 Jahre Bewertung als gedämmte untere Geschossdecke)</t>
  </si>
  <si>
    <t>(&gt;40 Jahre Bewertung als gedämmte untere Geschossdecke)</t>
  </si>
  <si>
    <t>UGD-Sanierung (Ja/Nein)</t>
  </si>
  <si>
    <t>Zeitpunkt der UGD Sanierung</t>
  </si>
  <si>
    <t>EPS/XPS-Dämmung WLG 035</t>
  </si>
  <si>
    <t>Aufdachdämmung  Dicke</t>
  </si>
  <si>
    <r>
      <t>(R</t>
    </r>
    <r>
      <rPr>
        <vertAlign val="subscript"/>
        <sz val="11"/>
        <color theme="1"/>
        <rFont val="Aptos Narrow"/>
        <family val="2"/>
        <scheme val="minor"/>
      </rPr>
      <t>T,Zwischensparren</t>
    </r>
    <r>
      <rPr>
        <sz val="11"/>
        <color theme="1"/>
        <rFont val="Aptos Narrow"/>
        <family val="2"/>
        <scheme val="minor"/>
      </rPr>
      <t xml:space="preserve">  </t>
    </r>
  </si>
  <si>
    <r>
      <t xml:space="preserve"> R</t>
    </r>
    <r>
      <rPr>
        <vertAlign val="subscript"/>
        <sz val="11"/>
        <color theme="1"/>
        <rFont val="Aptos Narrow"/>
        <family val="2"/>
        <scheme val="minor"/>
      </rPr>
      <t>T,Aufsparren</t>
    </r>
  </si>
  <si>
    <t>Dropdown-Menü
entweder oder</t>
  </si>
  <si>
    <t>kein Korrekturfaktor</t>
  </si>
  <si>
    <t>EPS-Dämmung WLG 035</t>
  </si>
  <si>
    <t>Flachdach</t>
  </si>
  <si>
    <t>Satteldach</t>
  </si>
  <si>
    <t>Öl</t>
  </si>
  <si>
    <t>Strom</t>
  </si>
  <si>
    <t>Fernwärme</t>
  </si>
  <si>
    <t>Luft-Wasser Wärmepumpe</t>
  </si>
  <si>
    <t>Wasser-Wasser Wärmepumpe</t>
  </si>
  <si>
    <t>Heizflächenart</t>
  </si>
  <si>
    <t>Einzelöfen</t>
  </si>
  <si>
    <t>Fernwärmeanschluss möglich</t>
  </si>
  <si>
    <t>Gasanschluss vorhanden</t>
  </si>
  <si>
    <t>Heizungssystem - Bestand</t>
  </si>
  <si>
    <t>Photovoltaik-Anlage vorhanden</t>
  </si>
  <si>
    <t>Glasart (Einfach; Zweifach; Dreifach)</t>
  </si>
  <si>
    <r>
      <t>Wärmebrückenzuschlag
∆U</t>
    </r>
    <r>
      <rPr>
        <vertAlign val="subscript"/>
        <sz val="11"/>
        <rFont val="Aptos Narrow"/>
        <family val="2"/>
        <scheme val="minor"/>
      </rPr>
      <t>WB</t>
    </r>
    <r>
      <rPr>
        <sz val="11"/>
        <rFont val="Aptos Narrow"/>
        <family val="2"/>
        <scheme val="minor"/>
      </rPr>
      <t xml:space="preserve"> [W/m²K]</t>
    </r>
  </si>
  <si>
    <t>Stahlbetondecke 25cm mit R-Wert 0,11</t>
  </si>
  <si>
    <t>(&gt; 40 Jahre)</t>
  </si>
  <si>
    <t>(&lt; 40 Jahre)</t>
  </si>
  <si>
    <t>keine Empfehlung</t>
  </si>
  <si>
    <t>Komplettsanierung</t>
  </si>
  <si>
    <t>Dachfenstertausch über geschätztes Baujahr nach Gebiet oder Nutzereingabe</t>
  </si>
  <si>
    <t>(&lt;30 Jahre Bewertung als neueres Fenster)</t>
  </si>
  <si>
    <t>(&gt;30 Jahre Bewertung als sanierungsbedürftig)</t>
  </si>
  <si>
    <t>Dachfenstertausch</t>
  </si>
  <si>
    <t>Sanierungswunsch Ja / Nein
Standard-Kunststoffrahmen- oder Holzrahmenfenster
U-Wert gemäß BEG EM 1,00 [W/m²K]</t>
  </si>
  <si>
    <t>Abfrage:
Standard-Kunststoffrahmen- oder Holzrahmenfenster
U-Wert gemäß BEG EM 1,00 [W/m²K]</t>
  </si>
  <si>
    <t>Baujahr über LOD oder Alterseingabe (gemäß Kat.1 U-Wert)</t>
  </si>
  <si>
    <t>Außenwandfläche - Fensterfläche:</t>
  </si>
  <si>
    <t xml:space="preserve">Baujahr über LOD oder Alterseingabe (U-Wert gemäß Kat. 1) </t>
  </si>
  <si>
    <t xml:space="preserve">A </t>
  </si>
  <si>
    <t>Außenwand gedämmt</t>
  </si>
  <si>
    <t>Außenwand nicht gedämmt</t>
  </si>
  <si>
    <t>Empfehlung Dämmung</t>
  </si>
  <si>
    <t>Sanierungswunsch Ja / Nein
Annahme Standardwärmedämmung EPS WLG (035)
U-Wert gemäß BEG EM 0,20 [W/m²K]</t>
  </si>
  <si>
    <t>Dachfenstertausch über Baujahr nach Gebiet oder Nutzereingabe</t>
  </si>
  <si>
    <t>Sanierungswunsch Ja / Nein
Standard-Kunststoffrahmen- oder Holzrahmenfenster
U-Wert gemäß BEG EM 0,95 [W/m²K]</t>
  </si>
  <si>
    <t>Abfrage:
Standard-Kunststoffrahmen- oder Holzrahmenfenster
U-Wert gemäß BEG EM 0,95 [W/m²K]</t>
  </si>
  <si>
    <t xml:space="preserve"> Beispiel: </t>
  </si>
  <si>
    <t>LOD Grundfläche oder Nutzereingabe der Fläche [m²]</t>
  </si>
  <si>
    <t>LOD (Umfang aus Grundfläche x Höhe - Fensterflächenanteil ca. 30%) 
(ausschließlich für unbeheizte Kellerräume) oder Nutzereingabe der Fläche [m²]</t>
  </si>
  <si>
    <t>LOD oder Nutzereingabe der Fläche [m²]</t>
  </si>
  <si>
    <t>Sanierungsempfehlung über Baujahr nach Gebiet oder Nutzereingabe</t>
  </si>
  <si>
    <t>Sanierungswunsch Ja / Nein
Annahme Standardwärmedämmung EPS/XPS WLG (030)
U-Wert gemäß BEG EM 0,25 [W/m²K]</t>
  </si>
  <si>
    <t>(beheizter Keller)</t>
  </si>
  <si>
    <t>(&lt; 60 Jahre)</t>
  </si>
  <si>
    <t>(&gt; 60 Jahre)</t>
  </si>
  <si>
    <t>(gemäß Kat.1 U-Wert)</t>
  </si>
  <si>
    <t>OGD saniert</t>
  </si>
  <si>
    <t>Oberste Geschossdecke gedämmt</t>
  </si>
  <si>
    <t>Oberste Geschossdecke nicht gedämmt</t>
  </si>
  <si>
    <t>Dachraum beheizt Ja/Nein</t>
  </si>
  <si>
    <t>Dachraum beheizt Ja / Nein</t>
  </si>
  <si>
    <t>Dämmung &gt;50 Jahre Bewertung als sanierungsbedürftig</t>
  </si>
  <si>
    <t>Empfehlung Dämmungaustausch</t>
  </si>
  <si>
    <t>Sanierungswunsch Ja / Nein
Annahme Standardwärmedämmung EPS/XPS WLG (032)
U-Wert gemäß BEG EM 0,14 [W/m²K]</t>
  </si>
  <si>
    <t>aus Datenstufe 2 Bestandsaufnahme
Annahme Standardwärmedämmung EPS/XPS WLG (032)
U-Wert gemäß BEG EM 0,14 [W/m²K]</t>
  </si>
  <si>
    <t>Sanierungswunsch Ja / Nein
Annahme Standardwärmedämmung Mineralwolle WLG (035)
U-Wert gemäß BEG EM 0,14 [W/m²K]</t>
  </si>
  <si>
    <t>aus Datenstufe 2 Bestandsaufnahme
Annahme Standardwärmedämmung Mineralwolle WLG (035)
U-Wert gemäß BEG EM 0,14 [W/m²K]</t>
  </si>
  <si>
    <t>Dämmung &gt;40 Jahre Bewertung als sanierungsbedürftig</t>
  </si>
  <si>
    <t>aus Datenstufe 2 Bestandsaufnahme
Annahme Standardwärmedämmung EPS WLG (035)
U-Wert gemäß BEG EM 0,20 [W/m²K]</t>
  </si>
  <si>
    <t xml:space="preserve">oder Alterseingabe gemäß Kat.1 U-Wert über 
</t>
  </si>
  <si>
    <t xml:space="preserve">Rahmenart (Holz, Kunststoff; Aluminium/Stahl) und </t>
  </si>
  <si>
    <t>Außenwandkonstruktion (gemäß Kat.1 U-Wert)</t>
  </si>
  <si>
    <t>Erdgas</t>
  </si>
  <si>
    <t>Biomasse</t>
  </si>
  <si>
    <t>Pellets</t>
  </si>
  <si>
    <t>zentral</t>
  </si>
  <si>
    <t>dezentral</t>
  </si>
  <si>
    <t>Wärmeerzeugung zentral</t>
  </si>
  <si>
    <t>Sole-Wasser Wärmepumpe Sonden</t>
  </si>
  <si>
    <t>Sole-Wasser Wärmepumpe Erdkollektor</t>
  </si>
  <si>
    <t>Zusatzheizung</t>
  </si>
  <si>
    <t>Sonne</t>
  </si>
  <si>
    <t>Solarthermie WWB</t>
  </si>
  <si>
    <t>Scheitholz</t>
  </si>
  <si>
    <t>Flächenheizung (Fußboden-, Wand-, Deckenheizung)</t>
  </si>
  <si>
    <t>Photovoltaik-Anlage möglich</t>
  </si>
  <si>
    <t>Solarkataster</t>
  </si>
  <si>
    <t>Gebietszuordnung</t>
  </si>
  <si>
    <t>Zusatzimfomation für Sanierungsempfehlung</t>
  </si>
  <si>
    <t>Umstellung auf Flächenheizung geplant</t>
  </si>
  <si>
    <t>Brennstofflagerfläche im Gebäude vorhanden</t>
  </si>
  <si>
    <t>Brennstofflagerfläche im Gebäude möglich</t>
  </si>
  <si>
    <t xml:space="preserve">zentral mit Zusatzheizung </t>
  </si>
  <si>
    <t>Solarthermie WWB und Heizung</t>
  </si>
  <si>
    <t>keine Sanierungsempfehlung</t>
  </si>
  <si>
    <t>Stromdirektheizung</t>
  </si>
  <si>
    <t>Massivwand mit WDVS (0,20 W/m²K)</t>
  </si>
  <si>
    <t>(&lt; 20 Jahre)</t>
  </si>
  <si>
    <t>(&gt; 20 - 70  Jahre)</t>
  </si>
  <si>
    <t>(&gt; 70 Jahre)</t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</si>
  <si>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</si>
  <si>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</si>
  <si>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</si>
  <si>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</si>
  <si>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  <r>
      <rPr>
        <sz val="11"/>
        <color theme="1"/>
        <rFont val="Aptos Narrow"/>
        <family val="2"/>
        <scheme val="minor"/>
      </rPr>
      <t>)</t>
    </r>
  </si>
  <si>
    <t>Bsp.:</t>
  </si>
  <si>
    <t>Baujahr über LOD oder Alterseingabe (U-Wert gemäß Kat. 1)</t>
  </si>
  <si>
    <t>Wie vorstehend, jedoch 
über 30cm Wandstärke</t>
  </si>
  <si>
    <r>
      <t>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</si>
  <si>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</si>
  <si>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t>Flächenanteil  LOD (35% der Gesamtaußenwandfläche) oder Nutzeingabe der Fläche</t>
  </si>
  <si>
    <t>m²</t>
  </si>
  <si>
    <t>Baujahr über LOD oder Alterseingabe (gemäß Kat.2 Heizung)</t>
  </si>
  <si>
    <t>Nutzereingabe der Heizungsanlage</t>
  </si>
  <si>
    <t>LOD (Umfang aus Grundfläche x Höhe - Fensterflächenanteil ca. 35%) 
(ausschließlich für unbeheizte Kellerräume) oder Nutzereingabe der Fläche [m²]</t>
  </si>
  <si>
    <t>Endenergie-Aufwandszahl e th,ges</t>
  </si>
  <si>
    <r>
      <t>d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</si>
  <si>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>(1/U</t>
    </r>
    <r>
      <rPr>
        <vertAlign val="subscript"/>
        <sz val="11"/>
        <color theme="1"/>
        <rFont val="Aptos Narrow"/>
        <family val="2"/>
        <scheme val="minor"/>
      </rPr>
      <t>NEU</t>
    </r>
  </si>
  <si>
    <r>
      <t>1/U</t>
    </r>
    <r>
      <rPr>
        <vertAlign val="subscript"/>
        <sz val="11"/>
        <color theme="1"/>
        <rFont val="Aptos Narrow"/>
        <family val="2"/>
        <scheme val="minor"/>
      </rPr>
      <t>VORH</t>
    </r>
    <r>
      <rPr>
        <sz val="11"/>
        <color theme="1"/>
        <rFont val="Aptos Narrow"/>
        <family val="2"/>
        <scheme val="minor"/>
      </rPr>
      <t>)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</si>
  <si>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</si>
  <si>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VORH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</si>
  <si>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NEU</t>
    </r>
  </si>
  <si>
    <t>Lamda-Wert</t>
  </si>
  <si>
    <t>λ [W/mK])</t>
  </si>
  <si>
    <r>
      <t xml:space="preserve">Dämmung </t>
    </r>
    <r>
      <rPr>
        <vertAlign val="subscript"/>
        <sz val="11"/>
        <color theme="1"/>
        <rFont val="Aptos Narrow"/>
        <family val="2"/>
        <scheme val="minor"/>
      </rPr>
      <t>Neu</t>
    </r>
  </si>
  <si>
    <t>Bestand</t>
  </si>
  <si>
    <r>
      <t>Dicke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</si>
  <si>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gemäß 
BEG EM</t>
  </si>
  <si>
    <t>einzubauende
Dämmstärke</t>
  </si>
  <si>
    <t>Dach saniert</t>
  </si>
  <si>
    <r>
      <t>Dicke
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</si>
  <si>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Quelle: Bundesanzeiger - Richtlinie für die Bundesförderung für effiziente Gebäude - Einzelmaßnahmen (BEG EM) vom 21. Dezember 2023</t>
  </si>
  <si>
    <t>Seite 18 ff</t>
  </si>
  <si>
    <t>1.1 Dämmung der Gebäudehülle, Sanierung von Fenstern, Türen und Vorhangfassaden</t>
  </si>
  <si>
    <t xml:space="preserve">Höchstwerte der Wärmedurchgangskoeffizienten Umax in W/(m2 · K) beziehungsweise der max. Wärmeleitfähigkeit λ in W/(m · K) </t>
  </si>
  <si>
    <t xml:space="preserve">Erneuerung, Ersatz oder erstmaliger Einbau von Bauteilen der 
thermischen Gebäudehülle </t>
  </si>
  <si>
    <t>Wohngebäude und Zonen von Nichtwohngebäuden T ≥ 19 °C</t>
  </si>
  <si>
    <t xml:space="preserve">Zonen von Nichtwohngebäuden mit 12 °C &lt; T &lt; 19 °C </t>
  </si>
  <si>
    <t xml:space="preserve">Außenwand </t>
  </si>
  <si>
    <t xml:space="preserve">Einblasdämmung/Kerndämmung bei bestehendem zweischaligem Mauerwerk </t>
  </si>
  <si>
    <t xml:space="preserve">λ ≤ 0,035 W/(m·K) </t>
  </si>
  <si>
    <t xml:space="preserve">λ ≤ 0,040 W/(m·K) </t>
  </si>
  <si>
    <t xml:space="preserve">Außenwände bei Baudenkmalen für alle Gebäude und bei sonstiger besonders erhaltenswerter Bausubstanz nur für Wohngebäude </t>
  </si>
  <si>
    <t xml:space="preserve">Außenwände mit Sichtfachwerk (Innendämmung bei Fachwerkaußenwänden, Erneuerung der Ausfachungen) </t>
  </si>
  <si>
    <t xml:space="preserve">Bauteilgruppe: 
Fenster, Fenstertüren, Dachflächenfenster, Glasdächer, Außentüren und Vorhangfassaden sowie Tore bei Nichtwohngebäuden </t>
  </si>
  <si>
    <t>Bauteilgruppe: 
Außenwand</t>
  </si>
  <si>
    <t xml:space="preserve">Ertüchtigung von Fenstern, Balkon- und Terrassentüren sowie von Kastenfenstern sowie von Fenstern mit Sonderverglasung </t>
  </si>
  <si>
    <t xml:space="preserve">Barrierearme oder einbruchhemmende Fenster, Balkon- und Terrassentüren </t>
  </si>
  <si>
    <t xml:space="preserve">Fenster, Balkon- und Terrassentüren mit Sonderverglasung (Verglasung zum Schall- und Brandschutz sowie Durchschuss-, Durchbruch- und Sprengwirkungshemmung) </t>
  </si>
  <si>
    <t xml:space="preserve">Fenster, Balkon- und Terrassentüren bei Baudenkmalen für alle Gebäude und bei sonstiger besonders erhaltenswerter Bausubstanz nur für Wohngebäude </t>
  </si>
  <si>
    <t xml:space="preserve">Fenster, Balkon- und Terrassentüren mit echten glasteilenden Sprossen bei Baudenkmalen für alle Gebäude und bei sonstiger besonders erhaltenswerter Bausubstanz nur für Wohngebäude </t>
  </si>
  <si>
    <t xml:space="preserve">Dachflächenfenster </t>
  </si>
  <si>
    <t xml:space="preserve">Glasdächer </t>
  </si>
  <si>
    <t xml:space="preserve">Lichtbänder und Lichtkuppeln </t>
  </si>
  <si>
    <t xml:space="preserve">Vorhangfassaden2 </t>
  </si>
  <si>
    <t>Fenster, Balkon- und Terrassentüren</t>
  </si>
  <si>
    <t>Außentüren beheizter Räume, Hauseingangstüren</t>
  </si>
  <si>
    <t xml:space="preserve">Tore (nur Nichtwohngebäude) </t>
  </si>
  <si>
    <t>Bauteilgruppe:
Dachflächen sowie Decken und Wände gegen unbeheizte Räume, Bodenflächen</t>
  </si>
  <si>
    <t xml:space="preserve">Dachflächen von Schrägdächern und dazugehörige Kehlbalkenlagen </t>
  </si>
  <si>
    <t xml:space="preserve">Dachgauben </t>
  </si>
  <si>
    <t xml:space="preserve">Oberste Geschossdecken und Wände (einschließlich Abseitenwände) gegen unbeheizte Dachräume </t>
  </si>
  <si>
    <t xml:space="preserve">Flachdächer und Dachflächen mit Abdichtung </t>
  </si>
  <si>
    <t xml:space="preserve">Dachflächen bei Baudenkmalen für alle Gebäude und bei sonstiger besonders erhaltenswerter Bausubstanz nur für Wohngebäude höchstmögliche Dämmstoffdicke (Flachdächer, Schrägdächer sowie dazugehörige Kehlbalkenlagen, Dachgauben oder oberste Geschossdecken) </t>
  </si>
  <si>
    <t xml:space="preserve">Wände gegen Erdreich oder unbeheizte Räume sowie Kellerräume </t>
  </si>
  <si>
    <t>Decken gegen unbeheizte Räume sowie Kellerdecken</t>
  </si>
  <si>
    <t xml:space="preserve">Geschossdecken gegen Außenluft von unten </t>
  </si>
  <si>
    <t xml:space="preserve">Bodenflächen gegen Erdreich </t>
  </si>
  <si>
    <t xml:space="preserve">Neuer Fußbodenaufbau bei bestehenden Bodenflächen gegen Erdreich (nur NWG) </t>
  </si>
  <si>
    <t>Fenster/ Türen saniert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</si>
  <si>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Nutzfläche nach GEG (0,32 * V</t>
    </r>
    <r>
      <rPr>
        <vertAlign val="subscript"/>
        <sz val="11"/>
        <color theme="1"/>
        <rFont val="Aptos Narrow"/>
        <family val="2"/>
        <scheme val="minor"/>
      </rPr>
      <t xml:space="preserve">e 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</si>
  <si>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beheiztes Gebäudevolumen über LOD (Grundfläche x Höhe)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</si>
  <si>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mit beheiztem Keller (1,1/1,35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</si>
  <si>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ohne beheiztem Keller sowie MFH (1,1/1,2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</si>
  <si>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(1,1 * A</t>
    </r>
    <r>
      <rPr>
        <vertAlign val="subscript"/>
        <sz val="11"/>
        <color theme="1"/>
        <rFont val="Aptos Narrow"/>
        <family val="2"/>
        <scheme val="minor"/>
      </rPr>
      <t>wohn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</si>
  <si>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beheiztes Luftvolumen [bis zu 3 Vollgeschosse (0,76 * 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) oder übrige Fälle (0,80 * Ve) 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</si>
  <si>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</si>
  <si>
    <t>Grundfläche</t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</si>
  <si>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</si>
  <si>
    <t>Fixwert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</si>
  <si>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</si>
  <si>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</si>
  <si>
    <t>1,1/1,35</t>
  </si>
  <si>
    <t>Abhängig vom Bestandsgebäude</t>
  </si>
  <si>
    <t>1,1/1,2</t>
  </si>
  <si>
    <r>
      <t>A</t>
    </r>
    <r>
      <rPr>
        <vertAlign val="subscript"/>
        <sz val="11"/>
        <color theme="1"/>
        <rFont val="Aptos Narrow"/>
        <family val="2"/>
        <scheme val="minor"/>
      </rPr>
      <t>Wohn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</si>
  <si>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Gesamtluftwechsel ohne mechanische Lüftung (Infiltration+Fenster)</t>
    </r>
  </si>
  <si>
    <t>n</t>
  </si>
  <si>
    <t>[W/K]</t>
  </si>
  <si>
    <r>
      <t>[h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]</t>
    </r>
  </si>
  <si>
    <r>
      <t>n = n</t>
    </r>
    <r>
      <rPr>
        <vertAlign val="subscript"/>
        <sz val="11"/>
        <color theme="1"/>
        <rFont val="Aptos Narrow"/>
        <family val="2"/>
        <scheme val="minor"/>
      </rPr>
      <t>inf</t>
    </r>
    <r>
      <rPr>
        <sz val="11"/>
        <color theme="1"/>
        <rFont val="Aptos Narrow"/>
        <family val="2"/>
        <scheme val="minor"/>
      </rPr>
      <t xml:space="preserve"> + n</t>
    </r>
    <r>
      <rPr>
        <vertAlign val="subscript"/>
        <sz val="11"/>
        <color theme="1"/>
        <rFont val="Aptos Narrow"/>
        <family val="2"/>
        <scheme val="minor"/>
      </rPr>
      <t xml:space="preserve">win </t>
    </r>
    <r>
      <rPr>
        <sz val="11"/>
        <color theme="1"/>
        <rFont val="Aptos Narrow"/>
        <family val="2"/>
        <scheme val="minor"/>
      </rPr>
      <t>(Kategorie 3 Gebäudebestand n = 0,79)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</si>
  <si>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</si>
  <si>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Gesamt-Lüftungswärmsenken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</si>
  <si>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</si>
  <si>
    <t>[kWh/d]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</si>
  <si>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</si>
  <si>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</si>
  <si>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l,source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</si>
  <si>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</t>
    </r>
  </si>
  <si>
    <t>[kWh]</t>
  </si>
  <si>
    <t>t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</si>
  <si>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 Bilanz-Innentemperatur Gebäudezone [20°C]</t>
    </r>
  </si>
  <si>
    <t>t = 24 Stunden pro Tag [h/d]</t>
  </si>
  <si>
    <t>[h/d]</t>
  </si>
  <si>
    <t>[°C]</t>
  </si>
  <si>
    <t>Fixwert [kW]</t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</si>
  <si>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 durchschnittliche monatliche Außentemperatur [°C]</t>
    </r>
  </si>
  <si>
    <t>Interne Wärmequellen mit ql = 45Wh/m²d (EFH) oder 90 Wh/m²d (MFH)</t>
  </si>
  <si>
    <t>mittelschwere Gebäudezonen 90 Wh/(m²K]</t>
  </si>
  <si>
    <r>
      <t>C</t>
    </r>
    <r>
      <rPr>
        <vertAlign val="subscript"/>
        <sz val="11"/>
        <color theme="1"/>
        <rFont val="Aptos Narrow"/>
        <family val="2"/>
        <scheme val="minor"/>
      </rPr>
      <t>wirk</t>
    </r>
  </si>
  <si>
    <t>[Wh/(m²K)</t>
  </si>
  <si>
    <r>
      <t>C</t>
    </r>
    <r>
      <rPr>
        <vertAlign val="subscript"/>
        <sz val="11"/>
        <color theme="1"/>
        <rFont val="Aptos Narrow"/>
        <family val="2"/>
        <scheme val="minor"/>
      </rPr>
      <t xml:space="preserve">wirk </t>
    </r>
    <r>
      <rPr>
        <sz val="11"/>
        <color theme="1"/>
        <rFont val="Aptos Narrow"/>
        <family val="2"/>
        <scheme val="minor"/>
      </rPr>
      <t>Wärmespeicherfähigkeit - Ausnutzungsgrad</t>
    </r>
  </si>
  <si>
    <t>Nutzfläche über beheiztes Gebäudevolumen</t>
  </si>
  <si>
    <t>Nettogrundfläche EFH über Nutzfläche</t>
  </si>
  <si>
    <t>Nettogrundfläche MFH über Nutzfläche</t>
  </si>
  <si>
    <t>beheiztes Gebäudevolumen</t>
  </si>
  <si>
    <t>beheiztes Luftvolumen</t>
  </si>
  <si>
    <t>Nettgrundfläche über Wohnfläche</t>
  </si>
  <si>
    <t>Gesamt-Lüftungswärmesenken ohne mech. Lüftung</t>
  </si>
  <si>
    <t>Wärmespeicherfähigkeit</t>
  </si>
  <si>
    <t>[Wh/K]</t>
  </si>
  <si>
    <t>Nutzenergiebedarf Trinkwarmwasser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</si>
  <si>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Nutzenergiebedarf Trinkwarmwasser (Jahreswert)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</si>
  <si>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</si>
  <si>
    <t>[kWh/m²a]</t>
  </si>
  <si>
    <r>
      <t>(A</t>
    </r>
    <r>
      <rPr>
        <vertAlign val="subscript"/>
        <sz val="11"/>
        <color theme="1"/>
        <rFont val="Aptos Narrow"/>
        <family val="2"/>
        <scheme val="minor"/>
      </rPr>
      <t>NGF,WE,m</t>
    </r>
  </si>
  <si>
    <t>0,05)</t>
  </si>
  <si>
    <r>
      <t>Mindestens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8,5 [kWh/m²a]</t>
    </r>
  </si>
  <si>
    <t>Gesamtluftwechsel ohne mech. Lüftung (Lüftungswärmeverlust)</t>
  </si>
  <si>
    <t>Volumen über LOD oder Nutzeingabe</t>
  </si>
  <si>
    <t>Luftdichheit Kat. [1/h]</t>
  </si>
  <si>
    <t>Volumen [m³]</t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</si>
  <si>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</si>
  <si>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Lüftungswärmeverluste</t>
  </si>
  <si>
    <t>Gesamtwärmeverlust</t>
  </si>
  <si>
    <t>H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</si>
  <si>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= Lüftungswärmeverlust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</si>
  <si>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= Tranmissionswärmeverlust aller Bauteile inkl Wärmebrücken</t>
    </r>
  </si>
  <si>
    <t>Gesamtwärmeverlustkoeffizient</t>
  </si>
  <si>
    <r>
      <t>Q</t>
    </r>
    <r>
      <rPr>
        <vertAlign val="subscript"/>
        <sz val="11"/>
        <color theme="1"/>
        <rFont val="Aptos Narrow"/>
        <family val="2"/>
        <scheme val="minor"/>
      </rPr>
      <t>H,N</t>
    </r>
  </si>
  <si>
    <t>HDD</t>
  </si>
  <si>
    <t>[Kd/a]</t>
  </si>
  <si>
    <t>24/1000</t>
  </si>
  <si>
    <t>Interne Gewinne</t>
  </si>
  <si>
    <t>HDD [Kd/a]</t>
  </si>
  <si>
    <t>24/1000 [Fixwert]</t>
  </si>
  <si>
    <t>angepasste Formel zur weiteren Berechnung</t>
  </si>
  <si>
    <t>&lt;--</t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</si>
  <si>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[kWh/a]</t>
    </r>
  </si>
  <si>
    <t>Interne Wärmequellen über Nettogrundfläche</t>
  </si>
  <si>
    <t>Vereinfachtes Verfahren nach DIN 18599-10: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</si>
  <si>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11 kWh/m²a (EFH) oder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15 kWh/m²a (MFH)</t>
    </r>
  </si>
  <si>
    <t>Fixwert [kWh/a]</t>
  </si>
  <si>
    <t>vorläufiger Heizwärmebedarf (Nutzenergie Heizen)</t>
  </si>
  <si>
    <t>Vereinfachtes Verfahren nach DIN 18599-10</t>
  </si>
  <si>
    <t>[W/m²d]</t>
  </si>
  <si>
    <r>
      <t>Q</t>
    </r>
    <r>
      <rPr>
        <vertAlign val="subscript"/>
        <sz val="11"/>
        <color theme="1"/>
        <rFont val="Aptos Narrow"/>
        <family val="2"/>
        <scheme val="minor"/>
      </rPr>
      <t xml:space="preserve">H,N </t>
    </r>
    <r>
      <rPr>
        <sz val="11"/>
        <color theme="1"/>
        <rFont val="Aptos Narrow"/>
        <family val="2"/>
        <scheme val="minor"/>
      </rPr>
      <t>Nutzenergie Heizen Jahreswert ohne solare und interne Gewinne</t>
    </r>
  </si>
  <si>
    <t>Heizwärmebedarf (Nutzenergie)</t>
  </si>
  <si>
    <t>Zusatz</t>
  </si>
  <si>
    <t>spezifische Wärmeverlust
über angrenzende Flächen</t>
  </si>
  <si>
    <t>Fixwert [Wh/m³K]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</si>
  <si>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[W/K]</t>
    </r>
  </si>
  <si>
    <r>
      <rPr>
        <sz val="11"/>
        <color theme="1"/>
        <rFont val="Aptos Narrow"/>
        <family val="2"/>
      </rPr>
      <t xml:space="preserve">ρ * </t>
    </r>
    <r>
      <rPr>
        <sz val="11"/>
        <color theme="1"/>
        <rFont val="Aptos Narrow"/>
        <family val="2"/>
        <scheme val="minor"/>
      </rPr>
      <t>C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0,34 Produkt aus Dichte und spez. Wärmekapazität von Luft [Wh/m³K]</t>
    </r>
  </si>
  <si>
    <t>HDD (Gradzahltag Regensburg) = 3626 [Kd/a]</t>
  </si>
  <si>
    <t>gemäß Software Standort Potsdam = 3279 [Kd/a]</t>
  </si>
  <si>
    <r>
      <t>q</t>
    </r>
    <r>
      <rPr>
        <vertAlign val="subscript"/>
        <sz val="11"/>
        <color theme="1"/>
        <rFont val="Aptos Narrow"/>
        <family val="2"/>
        <scheme val="minor"/>
      </rPr>
      <t xml:space="preserve">I </t>
    </r>
    <r>
      <rPr>
        <sz val="11"/>
        <color theme="1"/>
        <rFont val="Aptos Narrow"/>
        <family val="2"/>
        <scheme val="minor"/>
      </rPr>
      <t>= 45 Wh/m²d (EFH); q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 90 Wh/m²d (MFH)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</si>
  <si>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I</t>
    </r>
  </si>
  <si>
    <t>[Wh/m²d]</t>
  </si>
  <si>
    <r>
      <t>Q</t>
    </r>
    <r>
      <rPr>
        <vertAlign val="subscript"/>
        <sz val="11"/>
        <color theme="1"/>
        <rFont val="Aptos Narrow"/>
        <family val="2"/>
        <scheme val="minor"/>
      </rPr>
      <t>I,source,</t>
    </r>
  </si>
  <si>
    <t>Korrekturfaktor um den Jahreswert zu erreichen</t>
  </si>
  <si>
    <t>1/1000</t>
  </si>
  <si>
    <t>Anzahl der Tage [a]</t>
  </si>
  <si>
    <t>Raumtemperaturregelung  Flächenheizung</t>
  </si>
  <si>
    <t>Raumtemperaturregelung  freie Heizflächen</t>
  </si>
  <si>
    <t>18,5% von 47.900</t>
  </si>
  <si>
    <t>5,5% von 47.900</t>
  </si>
  <si>
    <t>55% von 36.200</t>
  </si>
  <si>
    <t>X</t>
  </si>
  <si>
    <t>Umbau auf Flächenheizung erwünscht? Ja/Nein</t>
  </si>
  <si>
    <t>Sanierungsmaßnahme Bsp</t>
  </si>
  <si>
    <t>Umbau zur Flächenheizung</t>
  </si>
  <si>
    <t>Gas-Hybridheizung / Fernwärme</t>
  </si>
  <si>
    <t>Brennstofflager-fläche vorhanden Ja/Nein</t>
  </si>
  <si>
    <t>nach Rücksprache mit Ralf als vorläufig vernachlässigbar zu betrachten (prozentualen Anteil festlegen)</t>
  </si>
  <si>
    <t>Testgebäude 1</t>
  </si>
  <si>
    <t>70/55°C</t>
  </si>
  <si>
    <t>Heizkreistemperatur</t>
  </si>
  <si>
    <t>1987 bis 1994</t>
  </si>
  <si>
    <t>Brennwertkessel (verbessert)</t>
  </si>
  <si>
    <t>55/45°C</t>
  </si>
  <si>
    <t>ab 1999</t>
  </si>
  <si>
    <t>alle</t>
  </si>
  <si>
    <t>1979 bis 1994</t>
  </si>
  <si>
    <t>&lt;40°C</t>
  </si>
  <si>
    <t>Elektrowärmepumpe, 
Erdreich/Grundwasser
(Elektrisch betriebene Sole/Wasser-Wärmepumpe;
Wasser/Wasser-Wärmepumpe)</t>
  </si>
  <si>
    <t>Elektrowärmepumpe,
Außenluft
(Elektrisch betriebene Luft/Wasser- Wärmepumpe)</t>
  </si>
  <si>
    <t>Ölbefeuerte Einzelöfen</t>
  </si>
  <si>
    <t>Gasraumheizer</t>
  </si>
  <si>
    <t>Elektro-Direktheizgerät</t>
  </si>
  <si>
    <t>Baujahr Nutzereingabe</t>
  </si>
  <si>
    <t>Gas-Heizkessel</t>
  </si>
  <si>
    <t>Radiatoren</t>
  </si>
  <si>
    <t>oder</t>
  </si>
  <si>
    <t>Gesamte Aufwandszahl</t>
  </si>
  <si>
    <r>
      <t>e</t>
    </r>
    <r>
      <rPr>
        <vertAlign val="subscript"/>
        <sz val="11"/>
        <color theme="1"/>
        <rFont val="Aptos Narrow"/>
        <family val="2"/>
        <scheme val="minor"/>
      </rPr>
      <t>Gesamt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</si>
  <si>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Heizung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</si>
  <si>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h,ce,1</t>
    </r>
  </si>
  <si>
    <t>Nutzereingabe in kWh/a</t>
  </si>
  <si>
    <t>Jahresverbrauch Wertermittlung (kWh/a)</t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</si>
  <si>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  <r>
      <rPr>
        <sz val="11"/>
        <color theme="1"/>
        <rFont val="Aptos Narrow"/>
        <family val="2"/>
        <scheme val="minor"/>
      </rPr>
      <t xml:space="preserve"> + ∆e</t>
    </r>
    <r>
      <rPr>
        <vertAlign val="subscript"/>
        <sz val="11"/>
        <color theme="1"/>
        <rFont val="Aptos Narrow"/>
        <family val="2"/>
        <scheme val="minor"/>
      </rPr>
      <t>h,ce,1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</si>
  <si>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h,ce,2</t>
    </r>
  </si>
  <si>
    <t xml:space="preserve">Testgebäude 1 </t>
  </si>
  <si>
    <r>
      <t>e</t>
    </r>
    <r>
      <rPr>
        <vertAlign val="subscript"/>
        <sz val="11"/>
        <color theme="1"/>
        <rFont val="Aptos Narrow"/>
        <family val="2"/>
        <scheme val="minor"/>
      </rPr>
      <t xml:space="preserve"> th,ges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</si>
  <si>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th,ges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</si>
  <si>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</si>
  <si>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</t>
    </r>
  </si>
  <si>
    <r>
      <t>(Q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</si>
  <si>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th,ges</t>
    </r>
    <r>
      <rPr>
        <sz val="11"/>
        <color theme="1"/>
        <rFont val="Aptos Narrow"/>
        <family val="2"/>
        <scheme val="minor"/>
      </rPr>
      <t>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</si>
  <si>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[kWh/a]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</si>
  <si>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</si>
  <si>
    <t>aus Datenstufe 2 Bestandsaufnahme
Annahme Standardwärmedämmung EPS/XPS WLG (030)
U-Wert gemäß BEG EM 0,25 [W/m²K]</t>
  </si>
  <si>
    <t>Biomasse (kein Lager = Fernwärme)</t>
  </si>
  <si>
    <t>Geschosshöhen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</si>
  <si>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[m²]</t>
    </r>
  </si>
  <si>
    <t>Primärenergiefaktor fp</t>
  </si>
  <si>
    <t>Heizöl EL</t>
  </si>
  <si>
    <t>Erdgas E</t>
  </si>
  <si>
    <t>Holzhackschnitzel; Holzpellets</t>
  </si>
  <si>
    <t>Strom-Mix</t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</si>
  <si>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</si>
  <si>
    <t>Primärenergie-faktor fp</t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</si>
  <si>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</si>
  <si>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</si>
  <si>
    <t xml:space="preserve">[kWh/(m²a)] </t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</si>
  <si>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</si>
  <si>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</si>
  <si>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t>äquivalente CO2-Emissionen</t>
  </si>
  <si>
    <t xml:space="preserve"> [t/a]</t>
  </si>
  <si>
    <r>
      <t>m</t>
    </r>
    <r>
      <rPr>
        <vertAlign val="subscript"/>
        <sz val="11"/>
        <color theme="1"/>
        <rFont val="Aptos Narrow"/>
        <family val="2"/>
        <scheme val="minor"/>
      </rPr>
      <t>CO2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</si>
  <si>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</si>
  <si>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CO2</t>
    </r>
  </si>
  <si>
    <t>[g/a]</t>
  </si>
  <si>
    <t>[g/kWh]</t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</si>
  <si>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-äquivalente Emissionen (Jahreswert)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</si>
  <si>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</t>
    </r>
  </si>
  <si>
    <t>(20-40 Jahre Bewertung als sanierungsbedüftig)</t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</si>
  <si>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</si>
  <si>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Primärenergiebedarf q</t>
    </r>
    <r>
      <rPr>
        <b/>
        <vertAlign val="subscript"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in [kWh/m²a]</t>
    </r>
  </si>
  <si>
    <r>
      <t>(Q</t>
    </r>
    <r>
      <rPr>
        <vertAlign val="subscript"/>
        <sz val="11"/>
        <color theme="1"/>
        <rFont val="Aptos Narrow"/>
        <family val="2"/>
        <scheme val="minor"/>
      </rPr>
      <t>f</t>
    </r>
  </si>
  <si>
    <t>CO2-Faktoren der Energieträger gemäß Informationsblatt CO2-Faktoren der Bafa</t>
  </si>
  <si>
    <t>Biomasse Holz</t>
  </si>
  <si>
    <t>Strom (erneuerbare Quelle)</t>
  </si>
  <si>
    <t>Biogas</t>
  </si>
  <si>
    <t>Energieträger</t>
  </si>
  <si>
    <t xml:space="preserve"> [tCO2/MWh]</t>
  </si>
  <si>
    <t>[gCO2/kWh]</t>
  </si>
  <si>
    <t>Heizöl, schwer</t>
  </si>
  <si>
    <t>Nah-/Fernwärme</t>
  </si>
  <si>
    <t>Strom Energieträgerwechsel zu Strom</t>
  </si>
  <si>
    <t>[t/a]</t>
  </si>
  <si>
    <t>1/1000000</t>
  </si>
  <si>
    <r>
      <t>m</t>
    </r>
    <r>
      <rPr>
        <vertAlign val="subscript"/>
        <sz val="11"/>
        <color theme="1"/>
        <rFont val="Aptos Narrow"/>
        <family val="2"/>
        <scheme val="minor"/>
      </rPr>
      <t>CO2</t>
    </r>
    <r>
      <rPr>
        <sz val="11"/>
        <color theme="1"/>
        <rFont val="Aptos Narrow"/>
        <family val="2"/>
        <scheme val="minor"/>
      </rPr>
      <t xml:space="preserve"> =</t>
    </r>
  </si>
  <si>
    <t>[ct/kWh]</t>
  </si>
  <si>
    <t>€</t>
  </si>
  <si>
    <t>Brennstoffdaten gemäß GEG/EnEV</t>
  </si>
  <si>
    <t>Heizwert</t>
  </si>
  <si>
    <t>Arbeitspreis</t>
  </si>
  <si>
    <t>Grundpreis [€/a]</t>
  </si>
  <si>
    <t>Heizwert [kWh/x]</t>
  </si>
  <si>
    <t>Arbeitspreis [€/x]</t>
  </si>
  <si>
    <t>Biomasse Stückholz x =[rm]</t>
  </si>
  <si>
    <t>Pellets x =[kg]</t>
  </si>
  <si>
    <t>Heizöl EL x = [l]</t>
  </si>
  <si>
    <t>Erdgas E x = [m³]</t>
  </si>
  <si>
    <t>[m³/a]</t>
  </si>
  <si>
    <t>Grundpreis</t>
  </si>
  <si>
    <t>[€/a]</t>
  </si>
  <si>
    <t>Unterste Geschossdecke gedämmt</t>
  </si>
  <si>
    <t>Unterste Geschossdecke nicht gedämmt</t>
  </si>
  <si>
    <t>Empfehlung Dämmungstausch</t>
  </si>
  <si>
    <r>
      <t>Primärenergiebedarf 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in [kWh/m²a]</t>
    </r>
  </si>
  <si>
    <r>
      <t>Endenergiebedarf Q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in [kWh/a] </t>
    </r>
  </si>
  <si>
    <r>
      <t>Primärenergiebedarf 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in [kWh/a]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</si>
  <si>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</si>
  <si>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=</t>
    </r>
  </si>
  <si>
    <r>
      <t>Endenergiebedarf q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in [kWh/(m²a)] </t>
    </r>
  </si>
  <si>
    <t>Empfehlung Komplettsanierung</t>
  </si>
  <si>
    <r>
      <t>Endenergiebedarf q</t>
    </r>
    <r>
      <rPr>
        <b/>
        <vertAlign val="subscript"/>
        <sz val="11"/>
        <color theme="1"/>
        <rFont val="Aptos Narrow"/>
        <family val="2"/>
        <scheme val="minor"/>
      </rPr>
      <t>f</t>
    </r>
    <r>
      <rPr>
        <b/>
        <sz val="11"/>
        <color theme="1"/>
        <rFont val="Aptos Narrow"/>
        <family val="2"/>
        <scheme val="minor"/>
      </rPr>
      <t xml:space="preserve"> in [kWh/(m²a)] </t>
    </r>
  </si>
  <si>
    <r>
      <t>Endenergiebedarf Q</t>
    </r>
    <r>
      <rPr>
        <b/>
        <vertAlign val="subscript"/>
        <sz val="11"/>
        <color theme="1"/>
        <rFont val="Aptos Narrow"/>
        <family val="2"/>
        <scheme val="minor"/>
      </rPr>
      <t>f</t>
    </r>
    <r>
      <rPr>
        <b/>
        <sz val="11"/>
        <color theme="1"/>
        <rFont val="Aptos Narrow"/>
        <family val="2"/>
        <scheme val="minor"/>
      </rPr>
      <t xml:space="preserve"> in [kWh/a] </t>
    </r>
  </si>
  <si>
    <r>
      <t>Primärenergiebedarf Q</t>
    </r>
    <r>
      <rPr>
        <b/>
        <vertAlign val="subscript"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in [kWh/a]</t>
    </r>
  </si>
  <si>
    <t>Wärmepumpe(Luft-Wasser)</t>
  </si>
  <si>
    <r>
      <t>Aufwandszahl e
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150 [m²]</t>
    </r>
  </si>
  <si>
    <r>
      <t>Aufwandszahl e
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500 [m²]</t>
    </r>
  </si>
  <si>
    <r>
      <t>Aufwandszahl e
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2500 [m²]</t>
    </r>
  </si>
  <si>
    <t>laut Ralf erstmal keine Berücksichtigung</t>
  </si>
  <si>
    <t>Fernwärme, fossil</t>
  </si>
  <si>
    <t>grau = wird nicht genutzt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</si>
</sst>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\ &quot;€&quot;"/>
    <numFmt numFmtId="167" formatCode="#,##0.000\ &quot;€&quot;"/>
  </numFmts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.65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11"/>
      <color theme="1"/>
      <name val="Wingdings"/>
      <charset val="2"/>
    </font>
    <font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sz val="9.35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vertAlign val="subscript"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7"/>
        <bgColor indexed="64"/>
      </patternFill>
    </fill>
    <fill>
      <patternFill patternType="solid">
        <fgColor rgb="FFE2C4A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D5D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5" xfId="0" applyBorder="1"/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17" xfId="0" applyFill="1" applyBorder="1"/>
    <xf numFmtId="0" fontId="0" fillId="2" borderId="0" xfId="0" applyFill="1"/>
    <xf numFmtId="0" fontId="0" fillId="2" borderId="22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2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6" xfId="0" applyBorder="1"/>
    <xf numFmtId="0" fontId="0" fillId="0" borderId="32" xfId="0" applyBorder="1"/>
    <xf numFmtId="0" fontId="0" fillId="0" borderId="1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/>
    <xf numFmtId="0" fontId="0" fillId="0" borderId="29" xfId="0" applyBorder="1"/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35" xfId="0" applyFill="1" applyBorder="1"/>
    <xf numFmtId="0" fontId="0" fillId="4" borderId="36" xfId="0" applyFill="1" applyBorder="1"/>
    <xf numFmtId="0" fontId="0" fillId="4" borderId="0" xfId="0" applyFill="1"/>
    <xf numFmtId="0" fontId="0" fillId="4" borderId="2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7" fillId="0" borderId="6" xfId="0" applyFont="1" applyBorder="1"/>
    <xf numFmtId="0" fontId="0" fillId="4" borderId="19" xfId="0" applyFill="1" applyBorder="1"/>
    <xf numFmtId="0" fontId="0" fillId="4" borderId="0" xfId="0" applyFill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4" borderId="23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0" fontId="0" fillId="4" borderId="20" xfId="0" applyFill="1" applyBorder="1"/>
    <xf numFmtId="0" fontId="0" fillId="4" borderId="22" xfId="0" applyFill="1" applyBorder="1"/>
    <xf numFmtId="0" fontId="0" fillId="0" borderId="34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7" fillId="0" borderId="11" xfId="0" applyFont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right"/>
    </xf>
    <xf numFmtId="2" fontId="0" fillId="0" borderId="2" xfId="0" applyNumberFormat="1" applyBorder="1"/>
    <xf numFmtId="0" fontId="0" fillId="0" borderId="8" xfId="0" applyBorder="1" applyAlignment="1">
      <alignment horizontal="right"/>
    </xf>
    <xf numFmtId="0" fontId="0" fillId="0" borderId="9" xfId="0" applyBorder="1"/>
    <xf numFmtId="2" fontId="0" fillId="0" borderId="8" xfId="0" applyNumberFormat="1" applyBorder="1"/>
    <xf numFmtId="0" fontId="0" fillId="0" borderId="8" xfId="0" applyBorder="1"/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34" xfId="0" applyBorder="1"/>
    <xf numFmtId="0" fontId="0" fillId="0" borderId="42" xfId="0" applyBorder="1"/>
    <xf numFmtId="0" fontId="0" fillId="2" borderId="42" xfId="0" applyFill="1" applyBorder="1" applyAlignment="1">
      <alignment horizontal="center" vertical="center"/>
    </xf>
    <xf numFmtId="0" fontId="0" fillId="2" borderId="12" xfId="0" applyFill="1" applyBorder="1"/>
    <xf numFmtId="0" fontId="0" fillId="2" borderId="34" xfId="0" applyFill="1" applyBorder="1"/>
    <xf numFmtId="0" fontId="0" fillId="2" borderId="42" xfId="0" applyFill="1" applyBorder="1"/>
    <xf numFmtId="0" fontId="0" fillId="0" borderId="17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0" fillId="2" borderId="16" xfId="0" applyFill="1" applyBorder="1"/>
    <xf numFmtId="0" fontId="0" fillId="2" borderId="18" xfId="0" applyFill="1" applyBorder="1"/>
    <xf numFmtId="0" fontId="0" fillId="0" borderId="24" xfId="0" applyBorder="1" applyAlignment="1">
      <alignment horizontal="left"/>
    </xf>
    <xf numFmtId="0" fontId="0" fillId="2" borderId="26" xfId="0" applyFill="1" applyBorder="1" applyAlignment="1">
      <alignment horizontal="left" vertical="center"/>
    </xf>
    <xf numFmtId="0" fontId="0" fillId="2" borderId="32" xfId="0" applyFill="1" applyBorder="1"/>
    <xf numFmtId="0" fontId="0" fillId="2" borderId="26" xfId="0" applyFill="1" applyBorder="1"/>
    <xf numFmtId="0" fontId="0" fillId="2" borderId="11" xfId="0" applyFill="1" applyBorder="1"/>
    <xf numFmtId="0" fontId="0" fillId="4" borderId="38" xfId="0" applyFill="1" applyBorder="1"/>
    <xf numFmtId="0" fontId="0" fillId="4" borderId="41" xfId="0" applyFill="1" applyBorder="1"/>
    <xf numFmtId="0" fontId="0" fillId="4" borderId="39" xfId="0" applyFill="1" applyBorder="1"/>
    <xf numFmtId="0" fontId="0" fillId="4" borderId="41" xfId="0" applyFill="1" applyBorder="1" applyAlignment="1">
      <alignment horizontal="right"/>
    </xf>
    <xf numFmtId="0" fontId="0" fillId="0" borderId="24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4" xfId="0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0" borderId="52" xfId="0" applyBorder="1"/>
    <xf numFmtId="0" fontId="0" fillId="0" borderId="45" xfId="0" applyBorder="1"/>
    <xf numFmtId="0" fontId="0" fillId="0" borderId="16" xfId="0" applyBorder="1" applyAlignment="1">
      <alignment horizontal="left"/>
    </xf>
    <xf numFmtId="0" fontId="0" fillId="0" borderId="44" xfId="0" applyBorder="1"/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horizontal="right" vertical="center"/>
    </xf>
    <xf numFmtId="1" fontId="0" fillId="0" borderId="11" xfId="0" applyNumberFormat="1" applyBorder="1" applyAlignment="1">
      <alignment horizontal="right" vertical="center"/>
    </xf>
    <xf numFmtId="2" fontId="0" fillId="0" borderId="11" xfId="0" applyNumberFormat="1" applyBorder="1" applyAlignment="1">
      <alignment vertic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19" xfId="0" applyBorder="1" applyAlignment="1">
      <alignment horizontal="right" vertical="center" wrapText="1"/>
    </xf>
    <xf numFmtId="2" fontId="0" fillId="0" borderId="0" xfId="0" applyNumberFormat="1" applyAlignment="1">
      <alignment vertical="center"/>
    </xf>
    <xf numFmtId="165" fontId="0" fillId="0" borderId="20" xfId="0" applyNumberFormat="1" applyBorder="1" applyAlignment="1">
      <alignment horizontal="left" vertical="center"/>
    </xf>
    <xf numFmtId="2" fontId="0" fillId="0" borderId="20" xfId="0" applyNumberFormat="1" applyBorder="1" applyAlignment="1">
      <alignment horizontal="left" vertical="center" wrapText="1"/>
    </xf>
    <xf numFmtId="2" fontId="0" fillId="0" borderId="0" xfId="0" applyNumberFormat="1" applyAlignment="1">
      <alignment horizontal="right" vertical="center"/>
    </xf>
    <xf numFmtId="0" fontId="0" fillId="0" borderId="0" xfId="0" quotePrefix="1"/>
    <xf numFmtId="2" fontId="0" fillId="0" borderId="20" xfId="0" applyNumberFormat="1" applyBorder="1"/>
    <xf numFmtId="0" fontId="0" fillId="0" borderId="10" xfId="0" quotePrefix="1" applyBorder="1" applyAlignment="1">
      <alignment vertical="center"/>
    </xf>
    <xf numFmtId="2" fontId="0" fillId="0" borderId="1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quotePrefix="1" applyBorder="1" applyAlignment="1">
      <alignment vertical="center"/>
    </xf>
    <xf numFmtId="165" fontId="0" fillId="0" borderId="1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22" xfId="0" quotePrefix="1" applyBorder="1"/>
    <xf numFmtId="10" fontId="0" fillId="0" borderId="22" xfId="0" applyNumberFormat="1" applyBorder="1"/>
    <xf numFmtId="165" fontId="0" fillId="0" borderId="19" xfId="0" applyNumberFormat="1" applyBorder="1" applyAlignment="1">
      <alignment horizontal="left" vertical="center"/>
    </xf>
    <xf numFmtId="0" fontId="0" fillId="0" borderId="11" xfId="0" quotePrefix="1" applyBorder="1"/>
    <xf numFmtId="10" fontId="0" fillId="0" borderId="11" xfId="0" applyNumberFormat="1" applyBorder="1"/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0" fontId="0" fillId="0" borderId="0" xfId="0" applyNumberFormat="1"/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0" fontId="0" fillId="0" borderId="26" xfId="0" applyBorder="1" applyAlignment="1">
      <alignment horizontal="right"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0" xfId="0" quotePrefix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2" xfId="0" quotePrefix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65" fontId="0" fillId="5" borderId="20" xfId="0" applyNumberFormat="1" applyFill="1" applyBorder="1" applyAlignment="1">
      <alignment horizontal="left" vertical="center" wrapText="1"/>
    </xf>
    <xf numFmtId="165" fontId="0" fillId="6" borderId="20" xfId="0" applyNumberFormat="1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22" xfId="0" quotePrefix="1" applyBorder="1" applyAlignment="1">
      <alignment horizontal="center" vertical="center" wrapText="1"/>
    </xf>
    <xf numFmtId="0" fontId="0" fillId="0" borderId="21" xfId="0" applyBorder="1" applyAlignment="1">
      <alignment horizontal="right" vertical="center" wrapText="1"/>
    </xf>
    <xf numFmtId="0" fontId="0" fillId="0" borderId="22" xfId="0" quotePrefix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quotePrefix="1" applyBorder="1" applyAlignment="1">
      <alignment vertical="center"/>
    </xf>
    <xf numFmtId="2" fontId="0" fillId="0" borderId="17" xfId="0" applyNumberFormat="1" applyBorder="1" applyAlignment="1">
      <alignment horizontal="right" vertical="center"/>
    </xf>
    <xf numFmtId="0" fontId="0" fillId="0" borderId="11" xfId="0" quotePrefix="1" applyBorder="1" applyAlignment="1">
      <alignment horizontal="center" vertical="center" wrapText="1"/>
    </xf>
    <xf numFmtId="165" fontId="0" fillId="0" borderId="29" xfId="0" applyNumberFormat="1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0" fontId="0" fillId="0" borderId="29" xfId="0" quotePrefix="1" applyBorder="1" applyAlignment="1">
      <alignment vertical="center"/>
    </xf>
    <xf numFmtId="2" fontId="0" fillId="0" borderId="22" xfId="0" applyNumberFormat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23" xfId="0" applyNumberForma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2" fontId="0" fillId="0" borderId="0" xfId="0" applyNumberFormat="1"/>
    <xf numFmtId="165" fontId="0" fillId="0" borderId="21" xfId="0" applyNumberFormat="1" applyBorder="1" applyAlignment="1">
      <alignment horizontal="left" vertical="center"/>
    </xf>
    <xf numFmtId="165" fontId="0" fillId="0" borderId="22" xfId="0" applyNumberFormat="1" applyBorder="1" applyAlignment="1">
      <alignment horizontal="right" vertical="center" wrapText="1"/>
    </xf>
    <xf numFmtId="165" fontId="0" fillId="0" borderId="10" xfId="0" applyNumberFormat="1" applyBorder="1" applyAlignment="1">
      <alignment horizontal="right" vertical="center" wrapText="1"/>
    </xf>
    <xf numFmtId="2" fontId="15" fillId="0" borderId="19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left" vertical="center"/>
    </xf>
    <xf numFmtId="0" fontId="0" fillId="9" borderId="41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left" vertical="center"/>
    </xf>
    <xf numFmtId="0" fontId="0" fillId="9" borderId="41" xfId="0" quotePrefix="1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right" vertical="center" wrapText="1"/>
    </xf>
    <xf numFmtId="2" fontId="0" fillId="9" borderId="41" xfId="0" applyNumberFormat="1" applyFill="1" applyBorder="1" applyAlignment="1">
      <alignment horizontal="left" vertical="center" wrapText="1"/>
    </xf>
    <xf numFmtId="0" fontId="0" fillId="9" borderId="41" xfId="0" applyFill="1" applyBorder="1" applyAlignment="1">
      <alignment horizontal="center" vertical="center"/>
    </xf>
    <xf numFmtId="0" fontId="0" fillId="9" borderId="41" xfId="0" applyFill="1" applyBorder="1"/>
    <xf numFmtId="165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horizontal="center" vertical="center"/>
    </xf>
    <xf numFmtId="2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vertical="center"/>
    </xf>
    <xf numFmtId="2" fontId="0" fillId="9" borderId="39" xfId="0" applyNumberForma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39" xfId="0" applyFill="1" applyBorder="1"/>
    <xf numFmtId="165" fontId="0" fillId="6" borderId="29" xfId="0" applyNumberFormat="1" applyFill="1" applyBorder="1" applyAlignment="1">
      <alignment horizontal="left" vertical="center" wrapText="1"/>
    </xf>
    <xf numFmtId="2" fontId="0" fillId="0" borderId="23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0" fillId="0" borderId="10" xfId="0" quotePrefix="1" applyNumberForma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2" fontId="0" fillId="0" borderId="11" xfId="0" quotePrefix="1" applyNumberFormat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right" vertical="center" wrapText="1"/>
    </xf>
    <xf numFmtId="2" fontId="0" fillId="0" borderId="17" xfId="0" applyNumberFormat="1" applyBorder="1" applyAlignment="1">
      <alignment vertical="center"/>
    </xf>
    <xf numFmtId="0" fontId="0" fillId="9" borderId="17" xfId="0" applyFill="1" applyBorder="1" applyAlignment="1">
      <alignment horizontal="left" vertical="center"/>
    </xf>
    <xf numFmtId="0" fontId="0" fillId="9" borderId="17" xfId="0" applyFill="1" applyBorder="1" applyAlignment="1">
      <alignment horizontal="center" vertical="center"/>
    </xf>
    <xf numFmtId="0" fontId="0" fillId="9" borderId="17" xfId="0" applyFill="1" applyBorder="1"/>
    <xf numFmtId="0" fontId="0" fillId="9" borderId="17" xfId="0" applyFill="1" applyBorder="1" applyAlignment="1">
      <alignment vertical="center" wrapText="1"/>
    </xf>
    <xf numFmtId="0" fontId="0" fillId="12" borderId="1" xfId="0" applyFill="1" applyBorder="1" applyAlignment="1">
      <alignment horizontal="right" vertical="center" wrapText="1"/>
    </xf>
    <xf numFmtId="0" fontId="0" fillId="10" borderId="0" xfId="0" applyFill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0" fillId="10" borderId="28" xfId="0" applyFill="1" applyBorder="1"/>
    <xf numFmtId="0" fontId="0" fillId="10" borderId="37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2" fontId="0" fillId="0" borderId="22" xfId="0" quotePrefix="1" applyNumberFormat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0" borderId="11" xfId="0" applyBorder="1" applyAlignment="1">
      <alignment horizontal="right" vertical="center" wrapText="1"/>
    </xf>
    <xf numFmtId="2" fontId="0" fillId="0" borderId="10" xfId="0" applyNumberFormat="1" applyBorder="1" applyAlignment="1">
      <alignment vertical="center"/>
    </xf>
    <xf numFmtId="0" fontId="0" fillId="0" borderId="29" xfId="0" quotePrefix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66" xfId="0" applyBorder="1"/>
    <xf numFmtId="1" fontId="0" fillId="0" borderId="11" xfId="0" applyNumberFormat="1" applyBorder="1" applyAlignment="1">
      <alignment vertical="center" wrapText="1"/>
    </xf>
    <xf numFmtId="1" fontId="0" fillId="0" borderId="17" xfId="0" applyNumberFormat="1" applyBorder="1" applyAlignment="1">
      <alignment vertical="center"/>
    </xf>
    <xf numFmtId="1" fontId="0" fillId="0" borderId="20" xfId="0" applyNumberFormat="1" applyBorder="1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8" fillId="0" borderId="0" xfId="0" applyFont="1"/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20" xfId="0" applyNumberForma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 wrapText="1"/>
    </xf>
    <xf numFmtId="165" fontId="0" fillId="0" borderId="32" xfId="0" applyNumberFormat="1" applyBorder="1" applyAlignment="1">
      <alignment horizontal="left" vertical="center" wrapText="1"/>
    </xf>
    <xf numFmtId="0" fontId="0" fillId="0" borderId="11" xfId="0" applyBorder="1" applyAlignment="1">
      <alignment horizontal="right" vertical="center"/>
    </xf>
    <xf numFmtId="2" fontId="0" fillId="0" borderId="11" xfId="0" applyNumberFormat="1" applyBorder="1" applyAlignment="1">
      <alignment horizontal="right" vertical="center"/>
    </xf>
    <xf numFmtId="0" fontId="0" fillId="2" borderId="17" xfId="0" quotePrefix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7" xfId="0" quotePrefix="1" applyFill="1" applyBorder="1" applyAlignment="1">
      <alignment horizontal="left" vertical="center" wrapText="1"/>
    </xf>
    <xf numFmtId="165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20" xfId="0" quotePrefix="1" applyBorder="1" applyAlignment="1">
      <alignment horizontal="left" vertical="center"/>
    </xf>
    <xf numFmtId="2" fontId="0" fillId="2" borderId="17" xfId="0" applyNumberFormat="1" applyFill="1" applyBorder="1" applyAlignment="1">
      <alignment horizontal="right" vertical="center" wrapText="1"/>
    </xf>
    <xf numFmtId="165" fontId="0" fillId="2" borderId="17" xfId="0" applyNumberFormat="1" applyFill="1" applyBorder="1" applyAlignment="1">
      <alignment horizontal="left" vertical="center" wrapText="1"/>
    </xf>
    <xf numFmtId="0" fontId="0" fillId="2" borderId="17" xfId="0" applyFill="1" applyBorder="1" applyAlignment="1">
      <alignment vertical="center"/>
    </xf>
    <xf numFmtId="0" fontId="0" fillId="2" borderId="17" xfId="0" quotePrefix="1" applyFill="1" applyBorder="1" applyAlignment="1">
      <alignment horizontal="center" vertical="center"/>
    </xf>
    <xf numFmtId="2" fontId="0" fillId="2" borderId="17" xfId="0" quotePrefix="1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 wrapText="1"/>
    </xf>
    <xf numFmtId="2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10" borderId="9" xfId="0" applyFill="1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11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left" vertical="center" wrapText="1"/>
    </xf>
    <xf numFmtId="2" fontId="0" fillId="2" borderId="18" xfId="0" applyNumberFormat="1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vertical="center"/>
    </xf>
    <xf numFmtId="0" fontId="0" fillId="13" borderId="37" xfId="0" applyFill="1" applyBorder="1" applyAlignment="1">
      <alignment horizontal="center" vertical="center" wrapText="1"/>
    </xf>
    <xf numFmtId="2" fontId="0" fillId="0" borderId="22" xfId="0" applyNumberFormat="1" applyBorder="1" applyAlignment="1">
      <alignment horizontal="right" vertical="center" wrapText="1"/>
    </xf>
    <xf numFmtId="165" fontId="0" fillId="0" borderId="23" xfId="0" applyNumberFormat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8" fillId="0" borderId="22" xfId="0" applyFont="1" applyBorder="1"/>
    <xf numFmtId="165" fontId="0" fillId="0" borderId="22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2" fontId="0" fillId="12" borderId="1" xfId="0" applyNumberForma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52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10" borderId="0" xfId="0" applyNumberFormat="1" applyFill="1" applyAlignment="1">
      <alignment horizontal="center" vertical="center" wrapText="1"/>
    </xf>
    <xf numFmtId="2" fontId="0" fillId="0" borderId="0" xfId="0" applyNumberFormat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7" xfId="0" applyBorder="1" applyAlignment="1">
      <alignment horizontal="right"/>
    </xf>
    <xf numFmtId="165" fontId="0" fillId="0" borderId="0" xfId="0" applyNumberFormat="1"/>
    <xf numFmtId="0" fontId="0" fillId="10" borderId="19" xfId="0" applyFill="1" applyBorder="1"/>
    <xf numFmtId="0" fontId="0" fillId="0" borderId="20" xfId="0" quotePrefix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2" fontId="0" fillId="0" borderId="8" xfId="0" applyNumberForma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2" fontId="0" fillId="10" borderId="0" xfId="0" applyNumberFormat="1" applyFill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0" fontId="0" fillId="0" borderId="14" xfId="0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8" xfId="0" applyFill="1" applyBorder="1"/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2" xfId="0" applyFill="1" applyBorder="1"/>
    <xf numFmtId="0" fontId="0" fillId="4" borderId="10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6" xfId="0" applyFill="1" applyBorder="1"/>
    <xf numFmtId="164" fontId="0" fillId="4" borderId="11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4" borderId="12" xfId="0" applyFill="1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0" borderId="39" xfId="0" applyNumberFormat="1" applyBorder="1" applyAlignment="1">
      <alignment vertical="center"/>
    </xf>
    <xf numFmtId="2" fontId="0" fillId="0" borderId="41" xfId="0" applyNumberFormat="1" applyBorder="1" applyAlignment="1">
      <alignment horizontal="center" vertical="center"/>
    </xf>
    <xf numFmtId="0" fontId="0" fillId="0" borderId="39" xfId="0" applyBorder="1"/>
    <xf numFmtId="0" fontId="0" fillId="4" borderId="7" xfId="0" applyFill="1" applyBorder="1"/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1" xfId="0" applyFill="1" applyBorder="1"/>
    <xf numFmtId="0" fontId="0" fillId="4" borderId="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0" borderId="12" xfId="0" quotePrefix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0" xfId="0" applyFill="1"/>
    <xf numFmtId="0" fontId="0" fillId="15" borderId="14" xfId="0" applyFill="1" applyBorder="1" applyAlignment="1">
      <alignment horizontal="center" vertical="center"/>
    </xf>
    <xf numFmtId="0" fontId="0" fillId="15" borderId="12" xfId="0" quotePrefix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3" fontId="0" fillId="15" borderId="8" xfId="0" applyNumberForma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164" fontId="0" fillId="15" borderId="9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" borderId="20" xfId="0" applyFill="1" applyBorder="1" applyAlignment="1">
      <alignment vertical="center" wrapText="1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38" xfId="0" applyFill="1" applyBorder="1" applyAlignment="1">
      <alignment horizontal="center" vertical="center"/>
    </xf>
    <xf numFmtId="1" fontId="0" fillId="0" borderId="23" xfId="0" applyNumberFormat="1" applyBorder="1" applyAlignment="1">
      <alignment horizontal="left" vertical="center" wrapText="1"/>
    </xf>
    <xf numFmtId="2" fontId="0" fillId="13" borderId="0" xfId="0" applyNumberFormat="1" applyFill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right" vertical="center" wrapText="1"/>
    </xf>
    <xf numFmtId="0" fontId="0" fillId="12" borderId="36" xfId="0" applyFill="1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1" fontId="0" fillId="0" borderId="62" xfId="0" applyNumberForma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0" fillId="2" borderId="13" xfId="0" applyFill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2" borderId="0" xfId="0" applyFont="1" applyFill="1"/>
    <xf numFmtId="2" fontId="0" fillId="2" borderId="8" xfId="0" applyNumberFormat="1" applyFill="1" applyBorder="1" applyAlignment="1">
      <alignment horizontal="center" vertical="center"/>
    </xf>
    <xf numFmtId="0" fontId="0" fillId="2" borderId="12" xfId="0" quotePrefix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0" borderId="67" xfId="0" applyBorder="1" applyAlignment="1">
      <alignment vertical="center"/>
    </xf>
    <xf numFmtId="164" fontId="0" fillId="2" borderId="8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8" fillId="2" borderId="0" xfId="0" applyFont="1" applyFill="1"/>
    <xf numFmtId="0" fontId="0" fillId="2" borderId="0" xfId="0" applyFill="1" applyAlignment="1">
      <alignment horizontal="left" vertical="center"/>
    </xf>
    <xf numFmtId="0" fontId="0" fillId="2" borderId="38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39" xfId="0" applyFill="1" applyBorder="1"/>
    <xf numFmtId="0" fontId="0" fillId="0" borderId="67" xfId="0" applyBorder="1"/>
    <xf numFmtId="0" fontId="0" fillId="0" borderId="30" xfId="0" applyBorder="1"/>
    <xf numFmtId="0" fontId="0" fillId="3" borderId="46" xfId="0" applyFill="1" applyBorder="1" applyAlignment="1">
      <alignment vertical="center"/>
    </xf>
    <xf numFmtId="0" fontId="0" fillId="8" borderId="46" xfId="0" applyFill="1" applyBorder="1" applyAlignment="1">
      <alignment vertical="center"/>
    </xf>
    <xf numFmtId="0" fontId="0" fillId="0" borderId="53" xfId="0" applyBorder="1"/>
    <xf numFmtId="0" fontId="0" fillId="3" borderId="25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2" borderId="38" xfId="0" applyFill="1" applyBorder="1"/>
    <xf numFmtId="0" fontId="0" fillId="2" borderId="66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0" fillId="8" borderId="25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41" xfId="0" applyFill="1" applyBorder="1"/>
    <xf numFmtId="0" fontId="0" fillId="2" borderId="41" xfId="0" applyFill="1" applyBorder="1" applyAlignment="1">
      <alignment horizontal="left" vertical="center"/>
    </xf>
    <xf numFmtId="0" fontId="0" fillId="0" borderId="6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45" xfId="0" applyFill="1" applyBorder="1" applyAlignment="1">
      <alignment vertical="center"/>
    </xf>
    <xf numFmtId="0" fontId="0" fillId="15" borderId="38" xfId="0" applyFill="1" applyBorder="1"/>
    <xf numFmtId="0" fontId="0" fillId="15" borderId="39" xfId="0" applyFill="1" applyBorder="1" applyAlignment="1">
      <alignment vertical="center"/>
    </xf>
    <xf numFmtId="0" fontId="0" fillId="8" borderId="20" xfId="0" applyFill="1" applyBorder="1"/>
    <xf numFmtId="0" fontId="0" fillId="3" borderId="42" xfId="0" applyFill="1" applyBorder="1" applyAlignment="1">
      <alignment horizontal="left" vertical="center"/>
    </xf>
    <xf numFmtId="0" fontId="0" fillId="3" borderId="29" xfId="0" applyFill="1" applyBorder="1" applyAlignment="1">
      <alignment vertical="center"/>
    </xf>
    <xf numFmtId="0" fontId="0" fillId="0" borderId="30" xfId="0" applyBorder="1" applyAlignment="1">
      <alignment horizontal="left"/>
    </xf>
    <xf numFmtId="0" fontId="0" fillId="0" borderId="67" xfId="0" applyBorder="1" applyAlignment="1">
      <alignment horizontal="left" vertical="center"/>
    </xf>
    <xf numFmtId="0" fontId="0" fillId="0" borderId="75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1" xfId="0" applyBorder="1"/>
    <xf numFmtId="0" fontId="0" fillId="0" borderId="47" xfId="0" applyBorder="1"/>
    <xf numFmtId="0" fontId="0" fillId="0" borderId="62" xfId="0" applyBorder="1"/>
    <xf numFmtId="0" fontId="0" fillId="12" borderId="0" xfId="0" applyFill="1" applyAlignment="1">
      <alignment horizontal="right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applyBorder="1"/>
    <xf numFmtId="10" fontId="0" fillId="0" borderId="0" xfId="0" applyNumberFormat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0" fontId="0" fillId="2" borderId="68" xfId="0" applyFill="1" applyBorder="1"/>
    <xf numFmtId="0" fontId="0" fillId="0" borderId="61" xfId="0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0" borderId="61" xfId="0" quotePrefix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8" xfId="0" applyBorder="1"/>
    <xf numFmtId="0" fontId="0" fillId="0" borderId="72" xfId="0" quotePrefix="1" applyBorder="1" applyAlignment="1">
      <alignment horizontal="center" vertical="center"/>
    </xf>
    <xf numFmtId="0" fontId="0" fillId="0" borderId="72" xfId="0" applyBorder="1"/>
    <xf numFmtId="0" fontId="0" fillId="0" borderId="79" xfId="0" quotePrefix="1" applyBorder="1" applyAlignment="1">
      <alignment horizontal="center" vertical="center"/>
    </xf>
    <xf numFmtId="0" fontId="0" fillId="0" borderId="79" xfId="0" applyBorder="1"/>
    <xf numFmtId="0" fontId="0" fillId="0" borderId="70" xfId="0" applyBorder="1" applyAlignment="1">
      <alignment horizontal="center" vertical="center"/>
    </xf>
    <xf numFmtId="0" fontId="0" fillId="0" borderId="70" xfId="0" applyBorder="1"/>
    <xf numFmtId="0" fontId="0" fillId="0" borderId="26" xfId="0" quotePrefix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3" xfId="0" applyBorder="1"/>
    <xf numFmtId="0" fontId="0" fillId="0" borderId="62" xfId="0" quotePrefix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46" xfId="0" applyBorder="1" applyAlignment="1">
      <alignment horizontal="center" vertical="center"/>
    </xf>
    <xf numFmtId="0" fontId="0" fillId="0" borderId="49" xfId="0" applyBorder="1"/>
    <xf numFmtId="0" fontId="0" fillId="0" borderId="69" xfId="0" applyBorder="1" applyAlignment="1">
      <alignment horizontal="center" vertical="center"/>
    </xf>
    <xf numFmtId="0" fontId="0" fillId="0" borderId="14" xfId="0" quotePrefix="1" applyBorder="1" applyAlignment="1">
      <alignment horizontal="left" vertical="center"/>
    </xf>
    <xf numFmtId="0" fontId="0" fillId="0" borderId="49" xfId="0" quotePrefix="1" applyBorder="1" applyAlignment="1">
      <alignment horizontal="left" vertical="center"/>
    </xf>
    <xf numFmtId="0" fontId="0" fillId="0" borderId="69" xfId="0" quotePrefix="1" applyBorder="1" applyAlignment="1">
      <alignment horizontal="center" vertical="center"/>
    </xf>
    <xf numFmtId="0" fontId="0" fillId="0" borderId="77" xfId="0" quotePrefix="1" applyBorder="1" applyAlignment="1">
      <alignment horizontal="left" vertical="center"/>
    </xf>
    <xf numFmtId="0" fontId="0" fillId="0" borderId="59" xfId="0" quotePrefix="1" applyBorder="1" applyAlignment="1">
      <alignment horizontal="center" vertical="center"/>
    </xf>
    <xf numFmtId="0" fontId="0" fillId="0" borderId="75" xfId="0" applyBorder="1"/>
    <xf numFmtId="0" fontId="0" fillId="0" borderId="76" xfId="0" applyBorder="1" applyAlignment="1">
      <alignment horizontal="center" vertical="center"/>
    </xf>
    <xf numFmtId="0" fontId="0" fillId="0" borderId="76" xfId="0" quotePrefix="1" applyBorder="1" applyAlignment="1">
      <alignment horizontal="left" vertical="center"/>
    </xf>
    <xf numFmtId="0" fontId="0" fillId="0" borderId="71" xfId="0" quotePrefix="1" applyBorder="1" applyAlignment="1">
      <alignment horizontal="center" vertical="center"/>
    </xf>
    <xf numFmtId="0" fontId="0" fillId="0" borderId="76" xfId="0" applyBorder="1"/>
    <xf numFmtId="2" fontId="0" fillId="0" borderId="7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2" fontId="0" fillId="0" borderId="71" xfId="0" quotePrefix="1" applyNumberFormat="1" applyBorder="1" applyAlignment="1">
      <alignment horizontal="center" vertical="center"/>
    </xf>
    <xf numFmtId="0" fontId="0" fillId="0" borderId="77" xfId="0" applyBorder="1"/>
    <xf numFmtId="0" fontId="0" fillId="0" borderId="65" xfId="0" applyBorder="1"/>
    <xf numFmtId="165" fontId="0" fillId="0" borderId="42" xfId="0" applyNumberFormat="1" applyBorder="1"/>
    <xf numFmtId="165" fontId="0" fillId="0" borderId="65" xfId="0" applyNumberFormat="1" applyBorder="1"/>
    <xf numFmtId="165" fontId="0" fillId="0" borderId="29" xfId="0" applyNumberFormat="1" applyBorder="1"/>
    <xf numFmtId="0" fontId="0" fillId="0" borderId="39" xfId="0" quotePrefix="1" applyBorder="1" applyAlignment="1">
      <alignment horizontal="center"/>
    </xf>
    <xf numFmtId="0" fontId="0" fillId="0" borderId="74" xfId="0" applyBorder="1"/>
    <xf numFmtId="165" fontId="0" fillId="0" borderId="70" xfId="0" applyNumberFormat="1" applyBorder="1"/>
    <xf numFmtId="165" fontId="0" fillId="0" borderId="74" xfId="0" applyNumberFormat="1" applyBorder="1"/>
    <xf numFmtId="165" fontId="0" fillId="0" borderId="73" xfId="0" applyNumberFormat="1" applyBorder="1"/>
    <xf numFmtId="0" fontId="0" fillId="0" borderId="68" xfId="0" quotePrefix="1" applyBorder="1" applyAlignment="1">
      <alignment horizontal="center"/>
    </xf>
    <xf numFmtId="0" fontId="8" fillId="0" borderId="52" xfId="0" applyFont="1" applyBorder="1"/>
    <xf numFmtId="0" fontId="0" fillId="0" borderId="21" xfId="0" applyBorder="1" applyAlignment="1">
      <alignment vertical="center"/>
    </xf>
    <xf numFmtId="0" fontId="5" fillId="0" borderId="46" xfId="0" applyFont="1" applyBorder="1"/>
    <xf numFmtId="0" fontId="5" fillId="0" borderId="50" xfId="0" applyFont="1" applyBorder="1"/>
    <xf numFmtId="0" fontId="5" fillId="0" borderId="48" xfId="0" applyFont="1" applyBorder="1"/>
    <xf numFmtId="0" fontId="0" fillId="5" borderId="42" xfId="0" applyFill="1" applyBorder="1"/>
    <xf numFmtId="0" fontId="0" fillId="5" borderId="1" xfId="0" quotePrefix="1" applyFill="1" applyBorder="1" applyAlignment="1">
      <alignment horizontal="left" vertical="center"/>
    </xf>
    <xf numFmtId="0" fontId="0" fillId="5" borderId="8" xfId="0" quotePrefix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/>
    <xf numFmtId="165" fontId="0" fillId="0" borderId="25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0" fontId="0" fillId="0" borderId="35" xfId="0" applyBorder="1"/>
    <xf numFmtId="0" fontId="0" fillId="0" borderId="61" xfId="0" applyBorder="1" applyAlignment="1">
      <alignment vertical="center" wrapText="1"/>
    </xf>
    <xf numFmtId="0" fontId="0" fillId="12" borderId="13" xfId="0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quotePrefix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19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43" xfId="0" applyBorder="1"/>
    <xf numFmtId="2" fontId="0" fillId="0" borderId="50" xfId="0" applyNumberFormat="1" applyBorder="1" applyAlignment="1">
      <alignment horizontal="left" vertical="center"/>
    </xf>
    <xf numFmtId="0" fontId="0" fillId="0" borderId="37" xfId="0" applyBorder="1"/>
    <xf numFmtId="2" fontId="0" fillId="0" borderId="46" xfId="0" applyNumberFormat="1" applyBorder="1" applyAlignment="1">
      <alignment horizontal="left" vertical="center"/>
    </xf>
    <xf numFmtId="0" fontId="0" fillId="0" borderId="51" xfId="0" applyBorder="1"/>
    <xf numFmtId="2" fontId="0" fillId="0" borderId="48" xfId="0" applyNumberFormat="1" applyBorder="1" applyAlignment="1">
      <alignment horizontal="left" vertical="center"/>
    </xf>
    <xf numFmtId="165" fontId="0" fillId="12" borderId="61" xfId="0" applyNumberFormat="1" applyFill="1" applyBorder="1" applyAlignment="1">
      <alignment horizontal="center" vertical="center" wrapText="1"/>
    </xf>
    <xf numFmtId="1" fontId="0" fillId="0" borderId="19" xfId="0" applyNumberFormat="1" applyBorder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6" borderId="0" xfId="0" applyFill="1"/>
    <xf numFmtId="0" fontId="0" fillId="16" borderId="2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9" fillId="16" borderId="60" xfId="0" applyFont="1" applyFill="1" applyBorder="1"/>
    <xf numFmtId="0" fontId="9" fillId="16" borderId="0" xfId="0" applyFont="1" applyFill="1"/>
    <xf numFmtId="0" fontId="0" fillId="16" borderId="6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9" fillId="16" borderId="62" xfId="0" applyFont="1" applyFill="1" applyBorder="1"/>
    <xf numFmtId="2" fontId="0" fillId="16" borderId="8" xfId="0" applyNumberFormat="1" applyFill="1" applyBorder="1" applyAlignment="1">
      <alignment horizontal="center" vertical="center" wrapText="1"/>
    </xf>
    <xf numFmtId="0" fontId="0" fillId="16" borderId="12" xfId="0" quotePrefix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 wrapText="1"/>
    </xf>
    <xf numFmtId="164" fontId="0" fillId="16" borderId="12" xfId="0" applyNumberFormat="1" applyFill="1" applyBorder="1" applyAlignment="1">
      <alignment horizontal="center" vertical="center" wrapText="1"/>
    </xf>
    <xf numFmtId="0" fontId="0" fillId="16" borderId="38" xfId="0" applyFill="1" applyBorder="1" applyAlignment="1">
      <alignment horizontal="center" vertical="center"/>
    </xf>
    <xf numFmtId="0" fontId="0" fillId="16" borderId="41" xfId="0" quotePrefix="1" applyFill="1" applyBorder="1" applyAlignment="1">
      <alignment horizontal="center" vertical="center"/>
    </xf>
    <xf numFmtId="0" fontId="0" fillId="16" borderId="39" xfId="0" applyFill="1" applyBorder="1" applyAlignment="1">
      <alignment horizontal="center" vertical="center"/>
    </xf>
    <xf numFmtId="2" fontId="0" fillId="16" borderId="0" xfId="0" applyNumberFormat="1" applyFill="1" applyAlignment="1">
      <alignment horizontal="center" vertical="center" wrapText="1"/>
    </xf>
    <xf numFmtId="0" fontId="0" fillId="16" borderId="0" xfId="0" quotePrefix="1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164" fontId="0" fillId="16" borderId="0" xfId="0" applyNumberFormat="1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2" fontId="0" fillId="16" borderId="13" xfId="0" applyNumberForma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 wrapText="1"/>
    </xf>
    <xf numFmtId="2" fontId="0" fillId="16" borderId="14" xfId="0" applyNumberFormat="1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 wrapText="1"/>
    </xf>
    <xf numFmtId="0" fontId="0" fillId="5" borderId="19" xfId="0" applyFill="1" applyBorder="1" applyAlignment="1">
      <alignment vertical="center" wrapText="1"/>
    </xf>
    <xf numFmtId="0" fontId="0" fillId="5" borderId="20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164" fontId="0" fillId="5" borderId="22" xfId="0" applyNumberFormat="1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21" xfId="0" applyFill="1" applyBorder="1"/>
    <xf numFmtId="0" fontId="0" fillId="5" borderId="22" xfId="0" applyFill="1" applyBorder="1" applyAlignment="1">
      <alignment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6" xfId="0" applyFill="1" applyBorder="1" applyAlignment="1">
      <alignment vertical="center" wrapText="1"/>
    </xf>
    <xf numFmtId="1" fontId="0" fillId="5" borderId="11" xfId="0" applyNumberFormat="1" applyFill="1" applyBorder="1" applyAlignment="1">
      <alignment vertical="center" wrapText="1"/>
    </xf>
    <xf numFmtId="0" fontId="0" fillId="5" borderId="32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1" fontId="0" fillId="0" borderId="6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7" xfId="0" applyBorder="1"/>
    <xf numFmtId="0" fontId="0" fillId="0" borderId="40" xfId="0" applyBorder="1"/>
    <xf numFmtId="0" fontId="6" fillId="0" borderId="16" xfId="0" applyFont="1" applyBorder="1"/>
    <xf numFmtId="0" fontId="6" fillId="0" borderId="19" xfId="0" applyFont="1" applyBorder="1"/>
    <xf numFmtId="165" fontId="0" fillId="0" borderId="1" xfId="0" applyNumberFormat="1" applyBorder="1" applyAlignment="1">
      <alignment horizontal="center"/>
    </xf>
    <xf numFmtId="0" fontId="0" fillId="0" borderId="48" xfId="0" applyBorder="1"/>
    <xf numFmtId="0" fontId="0" fillId="0" borderId="31" xfId="0" applyBorder="1"/>
    <xf numFmtId="2" fontId="0" fillId="0" borderId="14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5" borderId="21" xfId="0" applyFill="1" applyBorder="1" applyAlignment="1">
      <alignment horizontal="left" vertical="center" wrapText="1"/>
    </xf>
    <xf numFmtId="2" fontId="0" fillId="0" borderId="1" xfId="0" applyNumberFormat="1" applyBorder="1"/>
    <xf numFmtId="167" fontId="0" fillId="0" borderId="1" xfId="0" applyNumberFormat="1" applyBorder="1"/>
    <xf numFmtId="166" fontId="0" fillId="0" borderId="46" xfId="0" applyNumberFormat="1" applyBorder="1"/>
    <xf numFmtId="167" fontId="0" fillId="0" borderId="47" xfId="0" applyNumberFormat="1" applyBorder="1"/>
    <xf numFmtId="166" fontId="0" fillId="0" borderId="48" xfId="0" applyNumberFormat="1" applyBorder="1"/>
    <xf numFmtId="0" fontId="8" fillId="0" borderId="34" xfId="0" applyFont="1" applyBorder="1" applyAlignment="1">
      <alignment horizontal="left" vertical="center"/>
    </xf>
    <xf numFmtId="166" fontId="0" fillId="0" borderId="14" xfId="0" applyNumberFormat="1" applyBorder="1"/>
    <xf numFmtId="166" fontId="0" fillId="0" borderId="27" xfId="0" applyNumberFormat="1" applyBorder="1"/>
    <xf numFmtId="0" fontId="0" fillId="15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 wrapText="1"/>
    </xf>
    <xf numFmtId="0" fontId="0" fillId="0" borderId="28" xfId="0" applyBorder="1"/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64" fontId="0" fillId="15" borderId="1" xfId="0" applyNumberForma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0" fillId="16" borderId="30" xfId="0" applyFill="1" applyBorder="1"/>
    <xf numFmtId="2" fontId="0" fillId="16" borderId="33" xfId="0" applyNumberFormat="1" applyFill="1" applyBorder="1" applyAlignment="1">
      <alignment horizontal="left" vertical="center"/>
    </xf>
    <xf numFmtId="2" fontId="0" fillId="5" borderId="46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5" borderId="46" xfId="0" applyFill="1" applyBorder="1" applyAlignment="1">
      <alignment horizontal="center" vertical="center"/>
    </xf>
    <xf numFmtId="0" fontId="0" fillId="5" borderId="37" xfId="0" applyFill="1" applyBorder="1"/>
    <xf numFmtId="0" fontId="0" fillId="5" borderId="1" xfId="0" applyFill="1" applyBorder="1"/>
    <xf numFmtId="167" fontId="0" fillId="5" borderId="1" xfId="0" applyNumberFormat="1" applyFill="1" applyBorder="1"/>
    <xf numFmtId="166" fontId="0" fillId="5" borderId="46" xfId="0" applyNumberFormat="1" applyFill="1" applyBorder="1"/>
    <xf numFmtId="0" fontId="0" fillId="0" borderId="46" xfId="0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46" xfId="0" applyBorder="1"/>
    <xf numFmtId="0" fontId="0" fillId="0" borderId="46" xfId="0" quotePrefix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2" fontId="15" fillId="0" borderId="22" xfId="0" applyNumberFormat="1" applyFont="1" applyBorder="1" applyAlignment="1">
      <alignment horizontal="center" vertical="center" wrapText="1"/>
    </xf>
    <xf numFmtId="2" fontId="15" fillId="0" borderId="23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2" fontId="0" fillId="0" borderId="11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quotePrefix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0" fillId="9" borderId="4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1" xfId="0" applyBorder="1" applyAlignment="1">
      <alignment horizont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6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9" fillId="0" borderId="0" xfId="0" applyFont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14" borderId="14" xfId="0" applyNumberForma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10" borderId="10" xfId="0" applyNumberFormat="1" applyFill="1" applyBorder="1" applyAlignment="1">
      <alignment horizontal="center" vertical="center" wrapText="1"/>
    </xf>
    <xf numFmtId="2" fontId="0" fillId="10" borderId="3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2" fontId="0" fillId="14" borderId="12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4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2" fontId="0" fillId="10" borderId="14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65" fontId="0" fillId="14" borderId="12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right" vertical="center"/>
    </xf>
    <xf numFmtId="2" fontId="0" fillId="14" borderId="8" xfId="0" applyNumberFormat="1" applyFill="1" applyBorder="1" applyAlignment="1">
      <alignment horizontal="center" vertical="center" wrapText="1"/>
    </xf>
    <xf numFmtId="2" fontId="0" fillId="14" borderId="9" xfId="0" applyNumberForma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0" fillId="0" borderId="67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13" xfId="0" quotePrefix="1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15" borderId="8" xfId="0" applyFont="1" applyFill="1" applyBorder="1" applyAlignment="1">
      <alignment horizontal="left" vertical="center"/>
    </xf>
    <xf numFmtId="0" fontId="9" fillId="15" borderId="12" xfId="0" applyFont="1" applyFill="1" applyBorder="1" applyAlignment="1">
      <alignment horizontal="left" vertical="center"/>
    </xf>
    <xf numFmtId="0" fontId="9" fillId="15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5" borderId="13" xfId="0" quotePrefix="1" applyFill="1" applyBorder="1" applyAlignment="1">
      <alignment horizontal="center" vertical="center"/>
    </xf>
    <xf numFmtId="0" fontId="0" fillId="15" borderId="14" xfId="0" quotePrefix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9" fillId="16" borderId="1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16" borderId="13" xfId="0" quotePrefix="1" applyFill="1" applyBorder="1" applyAlignment="1">
      <alignment horizontal="center" vertical="center"/>
    </xf>
    <xf numFmtId="0" fontId="0" fillId="16" borderId="14" xfId="0" quotePrefix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quotePrefix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16" borderId="2" xfId="0" quotePrefix="1" applyFill="1" applyBorder="1" applyAlignment="1">
      <alignment horizontal="center" vertical="center"/>
    </xf>
    <xf numFmtId="0" fontId="0" fillId="16" borderId="6" xfId="0" quotePrefix="1" applyFill="1" applyBorder="1" applyAlignment="1">
      <alignment horizontal="center" vertical="center"/>
    </xf>
    <xf numFmtId="0" fontId="9" fillId="16" borderId="60" xfId="0" applyFont="1" applyFill="1" applyBorder="1" applyAlignment="1">
      <alignment horizontal="center" vertical="center" wrapText="1"/>
    </xf>
    <xf numFmtId="0" fontId="9" fillId="16" borderId="62" xfId="0" applyFont="1" applyFill="1" applyBorder="1" applyAlignment="1">
      <alignment horizontal="center" vertical="center" wrapText="1"/>
    </xf>
    <xf numFmtId="0" fontId="9" fillId="16" borderId="16" xfId="0" quotePrefix="1" applyFont="1" applyFill="1" applyBorder="1" applyAlignment="1">
      <alignment horizontal="center" vertical="center"/>
    </xf>
    <xf numFmtId="0" fontId="9" fillId="16" borderId="21" xfId="0" quotePrefix="1" applyFont="1" applyFill="1" applyBorder="1" applyAlignment="1">
      <alignment horizontal="center" vertical="center"/>
    </xf>
    <xf numFmtId="2" fontId="9" fillId="16" borderId="8" xfId="0" applyNumberFormat="1" applyFont="1" applyFill="1" applyBorder="1" applyAlignment="1">
      <alignment horizontal="left" vertical="center" wrapText="1"/>
    </xf>
    <xf numFmtId="2" fontId="9" fillId="16" borderId="12" xfId="0" applyNumberFormat="1" applyFont="1" applyFill="1" applyBorder="1" applyAlignment="1">
      <alignment horizontal="left" vertical="center" wrapText="1"/>
    </xf>
    <xf numFmtId="2" fontId="9" fillId="16" borderId="9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1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left" vertical="top"/>
    </xf>
    <xf numFmtId="0" fontId="0" fillId="15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" borderId="1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46" xfId="0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0" fillId="0" borderId="48" xfId="0" applyBorder="1" applyAlignment="1">
      <alignment horizontal="center" vertical="top"/>
    </xf>
    <xf numFmtId="0" fontId="0" fillId="0" borderId="13" xfId="0" applyBorder="1" applyAlignment="1">
      <alignment horizontal="left"/>
    </xf>
    <xf numFmtId="0" fontId="0" fillId="0" borderId="3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4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67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78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77" xfId="0" applyBorder="1" applyAlignment="1">
      <alignment horizontal="center" vertical="top" wrapText="1"/>
    </xf>
    <xf numFmtId="0" fontId="0" fillId="0" borderId="78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43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1" xfId="0" applyBorder="1" applyAlignment="1">
      <alignment horizontal="left" vertical="top"/>
    </xf>
    <xf numFmtId="0" fontId="0" fillId="0" borderId="67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77" xfId="0" applyBorder="1" applyAlignment="1">
      <alignment horizontal="center" vertical="top"/>
    </xf>
    <xf numFmtId="0" fontId="9" fillId="0" borderId="3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6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60" xfId="0" quotePrefix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165" fontId="0" fillId="0" borderId="46" xfId="0" applyNumberFormat="1" applyBorder="1" applyAlignment="1">
      <alignment horizontal="center" vertical="top"/>
    </xf>
    <xf numFmtId="0" fontId="0" fillId="0" borderId="59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1" xfId="0" applyBorder="1" applyAlignment="1">
      <alignment vertical="center"/>
    </xf>
    <xf numFmtId="0" fontId="4" fillId="0" borderId="5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47" xfId="0" applyBorder="1" applyAlignment="1">
      <alignment horizontal="left" vertical="center"/>
    </xf>
    <xf numFmtId="0" fontId="0" fillId="0" borderId="47" xfId="0" applyBorder="1" applyAlignment="1">
      <alignment horizontal="left" vertical="center" wrapText="1"/>
    </xf>
    <xf numFmtId="0" fontId="0" fillId="0" borderId="51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4" fillId="0" borderId="71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165" fontId="0" fillId="0" borderId="69" xfId="0" applyNumberFormat="1" applyBorder="1" applyAlignment="1">
      <alignment horizontal="center"/>
    </xf>
    <xf numFmtId="165" fontId="0" fillId="0" borderId="45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7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1" xfId="0" quotePrefix="1" applyBorder="1" applyAlignment="1">
      <alignment horizontal="center"/>
    </xf>
    <xf numFmtId="0" fontId="0" fillId="0" borderId="46" xfId="0" quotePrefix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0" fillId="0" borderId="60" xfId="0" quotePrefix="1" applyBorder="1" applyAlignment="1">
      <alignment horizontal="center" vertical="center" wrapText="1"/>
    </xf>
    <xf numFmtId="0" fontId="0" fillId="0" borderId="61" xfId="0" quotePrefix="1" applyBorder="1" applyAlignment="1">
      <alignment horizontal="center" vertical="center" wrapText="1"/>
    </xf>
    <xf numFmtId="0" fontId="0" fillId="0" borderId="62" xfId="0" quotePrefix="1" applyBorder="1" applyAlignment="1">
      <alignment horizontal="center" vertical="center" wrapText="1"/>
    </xf>
    <xf numFmtId="165" fontId="0" fillId="0" borderId="8" xfId="0" quotePrefix="1" applyNumberFormat="1" applyBorder="1" applyAlignment="1">
      <alignment horizontal="center"/>
    </xf>
    <xf numFmtId="165" fontId="0" fillId="0" borderId="42" xfId="0" quotePrefix="1" applyNumberFormat="1" applyBorder="1" applyAlignment="1">
      <alignment horizontal="center"/>
    </xf>
    <xf numFmtId="0" fontId="0" fillId="0" borderId="40" xfId="0" quotePrefix="1" applyBorder="1" applyAlignment="1">
      <alignment horizontal="center"/>
    </xf>
    <xf numFmtId="0" fontId="0" fillId="0" borderId="65" xfId="0" quotePrefix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0" fontId="0" fillId="0" borderId="42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165" fontId="0" fillId="0" borderId="40" xfId="0" quotePrefix="1" applyNumberFormat="1" applyBorder="1" applyAlignment="1">
      <alignment horizontal="center"/>
    </xf>
    <xf numFmtId="165" fontId="0" fillId="0" borderId="65" xfId="0" quotePrefix="1" applyNumberForma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165" fontId="0" fillId="0" borderId="65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15" borderId="8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D5D"/>
      <color rgb="FFFFFFC7"/>
      <color rgb="FFE2C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280147</xdr:colOff>
      <xdr:row>70</xdr:row>
      <xdr:rowOff>33617</xdr:rowOff>
    </xdr:from>
    <xdr:to>
      <xdr:col>11</xdr:col>
      <xdr:colOff>688917</xdr:colOff>
      <xdr:row>71</xdr:row>
      <xdr:rowOff>150767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C6DC41-685F-7250-6125-5C4841E0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412" y="6577852"/>
          <a:ext cx="2257740" cy="35247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11</xdr:col>
      <xdr:colOff>180138</xdr:colOff>
      <xdr:row>69</xdr:row>
      <xdr:rowOff>182261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6EFFEB3-872E-9BD5-27D8-4A5D9754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265" y="5300382"/>
          <a:ext cx="2029108" cy="1190791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112060</xdr:colOff>
      <xdr:row>65</xdr:row>
      <xdr:rowOff>358588</xdr:rowOff>
    </xdr:from>
    <xdr:to>
      <xdr:col>12</xdr:col>
      <xdr:colOff>202968</xdr:colOff>
      <xdr:row>69</xdr:row>
      <xdr:rowOff>197954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392C6D1-ED71-3A9B-A09B-CE10F5E1F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8295" y="5277970"/>
          <a:ext cx="1009791" cy="1228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116</xdr:row>
      <xdr:rowOff>0</xdr:rowOff>
    </xdr:from>
    <xdr:to>
      <xdr:col>22</xdr:col>
      <xdr:colOff>116149</xdr:colOff>
      <xdr:row>150</xdr:row>
      <xdr:rowOff>143799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9567C71-031E-704D-A918-21EE428D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3421975"/>
          <a:ext cx="13251124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chnische%20Daten\Projekte\25-10-10_Foxbyte\Archiv\26-01-26_-&#220;bersicht%20Berechnung%20Grobkonzept.xlsx" TargetMode="External"/><Relationship Id="rId1" Type="http://schemas.openxmlformats.org/officeDocument/2006/relationships/externalLinkPath" Target="file:///I:\Technische%20Daten\Projekte\25-10-10_Foxbyte\Archiv\26-01-26_-&#220;bersicht%20Berechnung%20Grobkonze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bkonzept"/>
      <sheetName val="Dach-Fenster"/>
      <sheetName val="OGD"/>
      <sheetName val="AW-Fenster"/>
      <sheetName val="UGD"/>
      <sheetName val="Heizung"/>
      <sheetName val="Kat. 1 U-Wert"/>
      <sheetName val="Kat. 2 Heizung"/>
      <sheetName val="Forme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fo" id="{556C3DC0-D6A1-4BB0-8FC7-44D4B3FA6C99}" userId="S::info@ber.bayern::1ace26ce-865e-40f7-85fa-6688c010783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9" dT="2026-03-19T14:39:46.53" personId="{556C3DC0-D6A1-4BB0-8FC7-44D4B3FA6C99}" id="{A2905A51-47CB-48E6-87C8-401F98DD77A1}">
    <text>Fp aus Kat.2 Heizung Primärenergiefaktor</text>
  </threadedComment>
  <threadedComment ref="L63" dT="2026-03-19T14:39:46.53" personId="{556C3DC0-D6A1-4BB0-8FC7-44D4B3FA6C99}" id="{FE005F4F-9B78-4F63-8E9A-F1DA1A017E82}">
    <text>Fp aus Kat.2 Heizung Primärenergiefaktor</text>
  </threadedComment>
  <threadedComment ref="C68" dT="2026-03-20T10:09:40.42" personId="{556C3DC0-D6A1-4BB0-8FC7-44D4B3FA6C99}" id="{04F3D168-F67A-4BB5-89A3-1A483099EA92}">
    <text>Kostengrundlage mit Ralf klären</text>
  </threadedComment>
  <threadedComment ref="D71" dT="2026-03-20T10:33:01.54" personId="{556C3DC0-D6A1-4BB0-8FC7-44D4B3FA6C99}" id="{3056774D-0CD7-427E-A649-914F1E584CC5}">
    <text>Gas = m²
Öl = l
Stückholt = rm (Raummeter)
Holzhackschnitzel = Scbm (Schüttraummeter)
Pellets = kg
Strom = kWh</text>
  </threadedComment>
  <threadedComment ref="AB72" dT="2026-01-16T09:59:40.70" personId="{556C3DC0-D6A1-4BB0-8FC7-44D4B3FA6C99}" id="{7C312E80-0EFB-4F63-9FB5-4001CB2D7B9B}">
    <text>-evtl. Abfragen beheizt oder unbeheizt zur Ermittlung der Gebäudehülle
-Vergleich Nutzertool VZ</text>
  </threadedComment>
  <threadedComment ref="AO72" dT="2026-01-16T09:19:32.25" personId="{556C3DC0-D6A1-4BB0-8FC7-44D4B3FA6C99}" id="{6F73B315-FA74-4589-A944-2045D3B2E4C4}">
    <text>-aus den LOD Daten herausnehmen ob Flachdach oder Satteldach
-daraus ergibt sich die Konstruktion
-Flachdach = massiv
-Satteldach = Holz</text>
  </threadedComment>
  <threadedComment ref="BA72" dT="2026-02-20T11:16:10.38" personId="{556C3DC0-D6A1-4BB0-8FC7-44D4B3FA6C99}" id="{C3C0D628-8C2A-4742-9620-48091BE4FF4E}">
    <text>Annahme Gebäudedaten</text>
  </threadedComment>
  <threadedComment ref="AJ73" dT="2026-02-20T11:16:22.10" personId="{556C3DC0-D6A1-4BB0-8FC7-44D4B3FA6C99}" id="{B5220C2B-7926-41CA-8197-F96CC82CC722}">
    <text>Annahme Gebäudedaten</text>
  </threadedComment>
  <threadedComment ref="U75" dT="2026-03-20T07:29:41.92" personId="{556C3DC0-D6A1-4BB0-8FC7-44D4B3FA6C99}" id="{BD223256-A905-459E-8720-3231A429650F}">
    <text>Kontrollrechnung für Software Testgebäude</text>
  </threadedComment>
  <threadedComment ref="AM75" dT="2026-01-16T11:24:27.30" personId="{556C3DC0-D6A1-4BB0-8FC7-44D4B3FA6C99}" id="{E1594331-A7F5-4311-805C-5001E0EC7EB8}">
    <text>Gemäß DIN EN ISO 6946</text>
  </threadedComment>
  <threadedComment ref="AO75" dT="2026-01-26T13:52:43.44" personId="{556C3DC0-D6A1-4BB0-8FC7-44D4B3FA6C99}" id="{C00016C2-7BF5-4C1C-9BDD-6142DA2E4FA4}">
    <text>Flachdach</text>
  </threadedComment>
  <threadedComment ref="AU75" dT="2026-01-16T10:39:22.42" personId="{556C3DC0-D6A1-4BB0-8FC7-44D4B3FA6C99}" id="{D5E3BE73-B612-47BA-BF38-D7068E762AA7}">
    <text>-Schicht besteht aus Dämmung und Holzbalken
- Minderung des U-Werts der Schicht um 30% durch Holzbalken</text>
  </threadedComment>
  <threadedComment ref="AO76" dT="2026-01-26T13:52:53.65" personId="{556C3DC0-D6A1-4BB0-8FC7-44D4B3FA6C99}" id="{53C25F50-570B-4F54-B38B-552286322285}">
    <text>Satteldach</text>
  </threadedComment>
  <threadedComment ref="AU76" dT="2026-01-26T15:00:35.13" personId="{556C3DC0-D6A1-4BB0-8FC7-44D4B3FA6C99}" id="{E2A0DE2C-05E8-484E-9236-33404914FF32}">
    <text>Entweder Zwischensparrendämmung oder Aufsparrendämmung</text>
  </threadedComment>
  <threadedComment ref="AU77" dT="2026-01-28T09:33:45.98" personId="{556C3DC0-D6A1-4BB0-8FC7-44D4B3FA6C99}" id="{C94F5835-A486-4C14-B455-F8236C90BC1A}">
    <text>Fixwert</text>
  </threadedComment>
  <threadedComment ref="BC78" dT="2026-01-16T11:24:00.57" personId="{556C3DC0-D6A1-4BB0-8FC7-44D4B3FA6C99}" id="{7ADD82DB-6196-4878-8D11-D3DC7ED0E86B}">
    <text>Gemäß DIN EN ISO 6946</text>
  </threadedComment>
  <threadedComment ref="BE78" dT="2026-01-16T12:33:38.96" personId="{556C3DC0-D6A1-4BB0-8FC7-44D4B3FA6C99}" id="{6AD8EBE0-E6A5-4621-9AA3-E41CD26B0F4D}">
    <text>- Minderung des U-Werts der Schicht um 1,30 durch Holzbalken</text>
  </threadedComment>
  <threadedComment ref="BC79" dT="2026-01-16T11:08:41.98" personId="{556C3DC0-D6A1-4BB0-8FC7-44D4B3FA6C99}" id="{BE7671D5-AAC1-4561-8465-2B1A2A1A4C5B}">
    <text>R'Dämmung= Rsi + ∑R (Dicke [m] / λ[W/(mK)] + Rse</text>
  </threadedComment>
  <threadedComment ref="BA80" dT="2026-01-16T10:33:23.66" personId="{556C3DC0-D6A1-4BB0-8FC7-44D4B3FA6C99}" id="{548E33A3-4D1B-4CA6-96EB-876335D2BB6B}">
    <text>-Bemessungswert aus DIN EN ISO 10456</text>
  </threadedComment>
  <threadedComment ref="BA84" dT="2026-02-20T11:16:14.94" personId="{556C3DC0-D6A1-4BB0-8FC7-44D4B3FA6C99}" id="{5ABCAE99-D9F9-4DE4-8F1B-EA1F24BC6403}">
    <text>Annahme Gebäudedaten</text>
  </threadedComment>
  <threadedComment ref="AK85" dT="2026-02-20T11:16:26.17" personId="{556C3DC0-D6A1-4BB0-8FC7-44D4B3FA6C99}" id="{B1E838FF-7605-4410-ACA1-AFECE5850934}">
    <text>Annahme Gebäudedaten</text>
  </threadedComment>
  <threadedComment ref="BA91" dT="2026-02-20T11:17:33.29" personId="{556C3DC0-D6A1-4BB0-8FC7-44D4B3FA6C99}" id="{D305441E-9605-4BDC-A040-AF0CBE52D734}">
    <text>Annahme Gebäudedaten</text>
  </threadedComment>
  <threadedComment ref="AK92" dT="2026-02-20T11:17:38.82" personId="{556C3DC0-D6A1-4BB0-8FC7-44D4B3FA6C99}" id="{F4864A61-5B4C-46A2-958B-E7E71BA5071A}">
    <text>Annahme Gebäudedaten</text>
  </threadedComment>
  <threadedComment ref="AM94" dT="2026-01-16T11:24:27.30" personId="{556C3DC0-D6A1-4BB0-8FC7-44D4B3FA6C99}" id="{4A05E870-4671-47EF-8FAD-A19F7EB7F705}">
    <text>Gemäß DIN EN ISO 6946</text>
  </threadedComment>
  <threadedComment ref="AO94" dT="2026-01-29T13:13:56.92" personId="{556C3DC0-D6A1-4BB0-8FC7-44D4B3FA6C99}" id="{435006F1-42AF-44A2-A796-B472C13DC705}">
    <text>Abstimmung mit Ralf erforderlich
abgesegnet</text>
  </threadedComment>
  <threadedComment ref="AY96" dT="2026-02-20T11:18:33.10" personId="{556C3DC0-D6A1-4BB0-8FC7-44D4B3FA6C99}" id="{FE53735A-EFF3-4662-A354-BD63C8540B8A}">
    <text>Annahme Gebäudedaten</text>
  </threadedComment>
  <threadedComment ref="BC96" dT="2026-02-20T11:20:30.80" personId="{556C3DC0-D6A1-4BB0-8FC7-44D4B3FA6C99}" id="{34FE3695-A470-4010-A52E-8567596EF065}">
    <text>Festgelegt 0,032</text>
  </threadedComment>
  <threadedComment ref="BC98" dT="2026-01-16T11:08:41.98" personId="{556C3DC0-D6A1-4BB0-8FC7-44D4B3FA6C99}" id="{7150452B-F2C3-4297-B4DA-AEE3BDDE2A90}">
    <text>R'Dämmung= Rsi + ∑R (Dicke [m] / λ[W/(mK)] + Rse</text>
  </threadedComment>
  <threadedComment ref="BA104" dT="2026-03-16T12:27:45.18" personId="{556C3DC0-D6A1-4BB0-8FC7-44D4B3FA6C99}" id="{4D861D9B-4F3E-4925-B101-1416F338B48D}">
    <text>Timo Pohlmann:
Nettogrundfläche: 133m²
11*7=77m² Grundfläche
7+7+11+11= 36m Umfang
36m*2,75m+0,2m Decke Ø Geschosshöhe = 106,2m²
106,2m²*2 Geschosse = 212,4m²</text>
  </threadedComment>
  <threadedComment ref="BC111" dT="2026-01-16T11:08:41.98" personId="{556C3DC0-D6A1-4BB0-8FC7-44D4B3FA6C99}" id="{0A2FE250-3E87-446B-BB77-23CE1DADDBFC}">
    <text>R'Dämmung= Rsi + ∑R (Dicke [m] / λ[W/(mK)] + Rse</text>
  </threadedComment>
  <threadedComment ref="AD121" dT="2026-02-20T10:03:26.28" personId="{556C3DC0-D6A1-4BB0-8FC7-44D4B3FA6C99}" id="{3666FBA1-11F0-4F0E-B385-80E062560FB7}">
    <text>Korrekturfaktor für Dachfenster</text>
  </threadedComment>
  <threadedComment ref="BA124" dT="2026-02-20T11:12:52.78" personId="{556C3DC0-D6A1-4BB0-8FC7-44D4B3FA6C99}" id="{1B5E35E2-87F2-484A-92B1-ED17C275A956}">
    <text>Annahme Gebäudedaten</text>
  </threadedComment>
  <threadedComment ref="AM127" dT="2026-01-16T11:24:27.30" personId="{556C3DC0-D6A1-4BB0-8FC7-44D4B3FA6C99}" id="{1F0A1AE6-3200-4F86-B3A3-5BF1C75C3108}">
    <text>Gemäß DIN EN ISO 6946</text>
  </threadedComment>
  <threadedComment ref="AO129" dT="2026-01-29T13:18:46.18" personId="{556C3DC0-D6A1-4BB0-8FC7-44D4B3FA6C99}" id="{344A7644-99A9-465A-B6D1-369C0949B932}">
    <text>Abstimmung mit Ralf</text>
  </threadedComment>
  <threadedComment ref="BC131" dT="2026-01-16T11:08:41.98" personId="{556C3DC0-D6A1-4BB0-8FC7-44D4B3FA6C99}" id="{DF7FC8F9-8389-44E0-8543-0E9874902376}">
    <text>R'Dämmung= Rsi + ∑R (Dicke [m] / λ[W/(mK)] + Rse</text>
  </threadedComment>
  <threadedComment ref="AF139" dT="2026-03-13T11:01:53.51" personId="{556C3DC0-D6A1-4BB0-8FC7-44D4B3FA6C99}" id="{CEDCFDF4-9B96-44EB-9899-D4C69C4FC0B1}">
    <text>Fixwert</text>
  </threadedComment>
  <threadedComment ref="AI139" dT="2026-03-13T10:57:10.45" personId="{556C3DC0-D6A1-4BB0-8FC7-44D4B3FA6C99}" id="{54346D7D-867C-448B-9C3E-106B56C8F57A}">
    <text>Beheiztes Luftvolumen</text>
  </threadedComment>
  <threadedComment ref="AB146" dT="2026-01-23T10:18:17.89" personId="{556C3DC0-D6A1-4BB0-8FC7-44D4B3FA6C99}" id="{8A761802-0E9F-4753-A941-AB674CAE970B}">
    <text>Dachraum Beheizt oder unbeheizt?</text>
  </threadedComment>
  <threadedComment ref="AB158" dT="2026-01-23T11:31:18.57" personId="{556C3DC0-D6A1-4BB0-8FC7-44D4B3FA6C99}" id="{F19446E3-9472-42AF-9695-E07C2E483815}">
    <text>Dachraum beheizt oder unbeheizt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1-16T09:59:40.70" personId="{556C3DC0-D6A1-4BB0-8FC7-44D4B3FA6C99}" id="{D298323B-0842-4798-B6F5-B9670EBDECAC}">
    <text>-evtl. Abfragen beheizt oder unbeheizt zur Ermittlung der Gebäudehülle
-Vergleich Nutzertool VZ</text>
  </threadedComment>
  <threadedComment ref="R3" dT="2026-01-16T09:19:32.25" personId="{556C3DC0-D6A1-4BB0-8FC7-44D4B3FA6C99}" id="{17A849A9-7736-415B-BD62-3B621655E34B}">
    <text>-aus den LOD Daten herausnehmen ob Flachdach oder Satteldach
-daraus ergibt sich die Konstruktion
-Flachdach = massiv
-Satteldach = Holz</text>
  </threadedComment>
  <threadedComment ref="Z3" dT="2026-02-20T11:11:12.47" personId="{556C3DC0-D6A1-4BB0-8FC7-44D4B3FA6C99}" id="{4FD089F5-DA67-46AD-AB27-A7C5B41ACA62}">
    <text>Annahme Gebäudedaten</text>
  </threadedComment>
  <threadedComment ref="M4" dT="2026-02-20T11:10:23.55" personId="{556C3DC0-D6A1-4BB0-8FC7-44D4B3FA6C99}" id="{E4AB48EE-C7C2-46D5-9EE0-D5C6E02D65D5}">
    <text>Annahme Gebäudedaten</text>
  </threadedComment>
  <threadedComment ref="O6" dT="2026-01-16T11:24:27.30" personId="{556C3DC0-D6A1-4BB0-8FC7-44D4B3FA6C99}" id="{D3ED9699-F8AE-4941-9680-34C8AE4CEDEE}">
    <text>Gemäß DIN EN ISO 6946</text>
  </threadedComment>
  <threadedComment ref="T6" dT="2026-01-16T10:39:22.42" personId="{556C3DC0-D6A1-4BB0-8FC7-44D4B3FA6C99}" id="{02E9F9EC-03EB-42CA-BB98-BB1EAC0EA9B5}">
    <text>-Schicht besteht aus Dämmung und Holzbalken
- Minderung des U-Werts der Schicht um 30% durch Holzbalken</text>
  </threadedComment>
  <threadedComment ref="R7" dT="2026-01-26T13:52:43.44" personId="{556C3DC0-D6A1-4BB0-8FC7-44D4B3FA6C99}" id="{3A64674B-111D-4AE6-A986-0777B57A6982}">
    <text>Flachdach</text>
  </threadedComment>
  <threadedComment ref="T7" dT="2026-01-26T15:00:35.13" personId="{556C3DC0-D6A1-4BB0-8FC7-44D4B3FA6C99}" id="{AC5F129D-C695-47B6-ADF2-6B37B522C546}">
    <text>Entweder Zwischensparrendämmung oder Aufsparrendämmung</text>
  </threadedComment>
  <threadedComment ref="R8" dT="2026-01-26T13:52:53.65" personId="{556C3DC0-D6A1-4BB0-8FC7-44D4B3FA6C99}" id="{3338836B-5056-4179-9E12-FF4E80860E4C}">
    <text>Satteldach</text>
  </threadedComment>
  <threadedComment ref="T8" dT="2026-01-28T09:33:45.98" personId="{556C3DC0-D6A1-4BB0-8FC7-44D4B3FA6C99}" id="{06B2C262-A460-4C26-9F80-FCDD37BBFC79}">
    <text>Fixwert bei Aufdachdämmung (Flachdach)</text>
  </threadedComment>
  <threadedComment ref="AB9" dT="2026-01-16T11:24:00.57" personId="{556C3DC0-D6A1-4BB0-8FC7-44D4B3FA6C99}" id="{A53139A9-E70A-4566-9FB1-0F66ABBEB1C0}">
    <text>Gemäß DIN EN ISO 6946</text>
  </threadedComment>
  <threadedComment ref="AD9" dT="2026-01-16T12:33:38.96" personId="{556C3DC0-D6A1-4BB0-8FC7-44D4B3FA6C99}" id="{FC843BA4-FAC3-4A06-9BFE-C9257C1D96FE}">
    <text>- Minderung des U-Werts der Schicht um 1,30 durch Holzbalken</text>
  </threadedComment>
  <threadedComment ref="AB10" dT="2026-01-16T11:08:41.98" personId="{556C3DC0-D6A1-4BB0-8FC7-44D4B3FA6C99}" id="{BE0DDB55-60A2-479C-80BF-0FE56EAF3F34}">
    <text>R'Dämmung= Rsi + ∑R (Dicke [m] / λ[W/(mK)] + Rse</text>
  </threadedComment>
  <threadedComment ref="Z11" dT="2026-01-16T10:33:23.66" personId="{556C3DC0-D6A1-4BB0-8FC7-44D4B3FA6C99}" id="{CEFB2E77-7CA5-488B-AF58-0BE17A868CEF}">
    <text>-Bemessungswert aus DIN EN ISO 10456</text>
  </threadedComment>
  <threadedComment ref="X13" dT="2026-02-20T10:50:16.68" personId="{556C3DC0-D6A1-4BB0-8FC7-44D4B3FA6C99}" id="{8654CF47-C1B6-4488-862B-EAD5EB418097}">
    <text>Bestand U-Wert</text>
  </threadedComment>
  <threadedComment ref="F17" dT="2026-02-20T10:03:26.28" personId="{556C3DC0-D6A1-4BB0-8FC7-44D4B3FA6C99}" id="{EB47AEDF-257D-4B25-B745-56167A2322CA}">
    <text>Korrekturfaktor für Dachfenster</text>
  </threadedComment>
  <threadedComment ref="H26" dT="2026-03-06T12:09:35.93" personId="{556C3DC0-D6A1-4BB0-8FC7-44D4B3FA6C99}" id="{A1FC5D0F-7D52-4665-8A47-8F4E24A23F75}">
    <text>Sanierungsergebnis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3" dT="2026-02-20T11:12:52.78" personId="{556C3DC0-D6A1-4BB0-8FC7-44D4B3FA6C99}" id="{E72D2769-08A9-473D-A6E8-1620A10EB2DD}">
    <text>Annahme Gebäudedaten</text>
  </threadedComment>
  <threadedComment ref="M4" dT="2026-02-20T11:12:56.42" personId="{556C3DC0-D6A1-4BB0-8FC7-44D4B3FA6C99}" id="{C5CFA34D-0196-4826-B119-FBD611EE325A}">
    <text>Annahme Gebäudedaten</text>
  </threadedComment>
  <threadedComment ref="O6" dT="2026-01-16T11:24:27.30" personId="{556C3DC0-D6A1-4BB0-8FC7-44D4B3FA6C99}" id="{C0FDDC62-E04F-47D6-BA3C-D62F9EF593AC}">
    <text>Gemäß DIN EN ISO 6946</text>
  </threadedComment>
  <threadedComment ref="R6" dT="2026-01-29T13:13:56.92" personId="{556C3DC0-D6A1-4BB0-8FC7-44D4B3FA6C99}" id="{27554741-04A5-4A07-A517-6CE6CE5AF26D}">
    <text>Abstimmung mit Ralf erforderlich
abgesegnet</text>
  </threadedComment>
  <threadedComment ref="X8" dT="2026-02-20T11:18:33.10" personId="{556C3DC0-D6A1-4BB0-8FC7-44D4B3FA6C99}" id="{8D6D3181-CD78-462A-A310-99D6BB21AE31}">
    <text>Annahme Gebäudedaten</text>
  </threadedComment>
  <threadedComment ref="AB8" dT="2026-02-20T11:20:30.80" personId="{556C3DC0-D6A1-4BB0-8FC7-44D4B3FA6C99}" id="{EB3313BC-7945-41D4-9580-27348813102C}">
    <text>Festgelegt 0,032</text>
  </threadedComment>
  <threadedComment ref="AB10" dT="2026-01-16T11:08:41.98" personId="{556C3DC0-D6A1-4BB0-8FC7-44D4B3FA6C99}" id="{9A12A69D-022B-4ED1-9197-785B82CBD58D}">
    <text>R'Dämmung= Rsi + ∑R (Dicke [m] / λ[W/(mK)] + Rse</text>
  </threadedComment>
  <threadedComment ref="H19" dT="2026-03-06T12:09:35.93" personId="{556C3DC0-D6A1-4BB0-8FC7-44D4B3FA6C99}" id="{C5668288-2C93-4732-BDF0-E0958A5F0ECC}">
    <text>Sanierungsergebnis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A3" dT="2026-03-17T13:17:59.96" personId="{556C3DC0-D6A1-4BB0-8FC7-44D4B3FA6C99}" id="{01142D3C-9AA4-4F77-A98D-28DC1F54A47C}">
    <text xml:space="preserve">Timo Pohlmann:
Nettogrundfläche: 133m²
11*7=77m² Grundfläche
7+7+11+11= 36m Umfang
36m*2,75m+0,2m Decke Ø Geschossumfangfläche = 106,2m²
106,2m²*2 Geschosse = 212,4m²
</text>
  </threadedComment>
  <threadedComment ref="AC10" dT="2026-01-16T11:08:41.98" personId="{556C3DC0-D6A1-4BB0-8FC7-44D4B3FA6C99}" id="{9A12A69D-022B-4ED2-9197-785B82CBD58D}">
    <text>R'Dämmung= Rsi + ∑R (Dicke [m] / λ[W/(mK)] + Rse</text>
  </threadedComment>
  <threadedComment ref="G20" dT="2026-02-20T10:03:26.28" personId="{556C3DC0-D6A1-4BB0-8FC7-44D4B3FA6C99}" id="{EB47AEDF-257D-4B26-B745-56167A2322CA}">
    <text>Korrekturfaktor für Dachfenster</text>
  </threadedComment>
  <threadedComment ref="I27" dT="2026-03-06T12:09:35.93" personId="{556C3DC0-D6A1-4BB0-8FC7-44D4B3FA6C99}" id="{686876FA-4AE4-4FEE-B03A-4660A3B6CEBE}">
    <text>Sanierungsergebnis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Z3" dT="2026-02-20T11:12:52.78" personId="{556C3DC0-D6A1-4BB0-8FC7-44D4B3FA6C99}" id="{E72D2769-08A9-473E-A6E8-1620A10EB2DD}">
    <text>Annahme Gebäudedaten</text>
  </threadedComment>
  <threadedComment ref="O6" dT="2026-01-16T11:24:27.30" personId="{556C3DC0-D6A1-4BB0-8FC7-44D4B3FA6C99}" id="{C0FDDC62-E04F-47D7-BA3C-D62F9EF593AC}">
    <text>Gemäß DIN EN ISO 6946</text>
  </threadedComment>
  <threadedComment ref="R8" dT="2026-01-29T13:18:46.18" personId="{556C3DC0-D6A1-4BB0-8FC7-44D4B3FA6C99}" id="{D13F50FA-C866-45AA-9283-E271F912CEF7}">
    <text>Abstimmung mit Ralf</text>
  </threadedComment>
  <threadedComment ref="AB10" dT="2026-01-16T11:08:41.98" personId="{556C3DC0-D6A1-4BB0-8FC7-44D4B3FA6C99}" id="{9A12A69D-022B-4ED3-9197-785B82CBD58D}">
    <text>R'Dämmung= Rsi + ∑R (Dicke [m] / λ[W/(mK)] + Rse</text>
  </threadedComment>
  <threadedComment ref="H19" dT="2026-03-06T12:09:35.93" personId="{556C3DC0-D6A1-4BB0-8FC7-44D4B3FA6C99}" id="{4A1684FC-8486-40DF-B950-535612B92DB4}">
    <text>Sanierungsergebnis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" dT="2026-03-13T10:42:13.26" personId="{556C3DC0-D6A1-4BB0-8FC7-44D4B3FA6C99}" id="{1D326541-3F37-4996-851D-E2337A6E413E}">
    <text>2 Geschosse á 2,75m+0,20m Decke</text>
  </threadedComment>
  <threadedComment ref="F30" dT="2026-03-11T12:10:51.38" personId="{556C3DC0-D6A1-4BB0-8FC7-44D4B3FA6C99}" id="{A851535F-39E5-4C46-A429-943D5E6A8B4D}">
    <text xml:space="preserve">Eingabe des Bsp. Gebäudes
</text>
  </threadedComment>
  <threadedComment ref="J45" dT="2026-03-16T09:10:18.62" personId="{556C3DC0-D6A1-4BB0-8FC7-44D4B3FA6C99}" id="{25CB9F68-43C2-414D-A6F3-87480F29859E}">
    <text xml:space="preserve">24 h Faktor zur Umrechnung von Tagen in Stunden
/1000 Umrechnung von Wattstunden in Kilowattstunden
</text>
  </threadedComment>
  <threadedComment ref="F46" dT="2026-03-16T09:16:26.12" personId="{556C3DC0-D6A1-4BB0-8FC7-44D4B3FA6C99}" id="{65D32B68-F32A-4B4B-A440-1C8C7A316266}">
    <text>Langjähriges Mittel (20 Jahre) für Regensburg</text>
  </threadedComment>
  <threadedComment ref="N49" dT="2026-03-16T09:31:13.83" personId="{556C3DC0-D6A1-4BB0-8FC7-44D4B3FA6C99}" id="{78E17B51-38FE-4F46-A7DB-BAEF3D4CB0A8}">
    <text>Randbedingungen nach DIN 18599-10 Seite 17</text>
  </threadedComment>
  <threadedComment ref="F61" dT="2026-03-11T14:47:15.73" personId="{556C3DC0-D6A1-4BB0-8FC7-44D4B3FA6C99}" id="{BDD163D8-E2F6-4ED3-BB6C-52C8B9CD9FD8}">
    <text>Annahme Wohnfläche</text>
  </threadedComment>
  <threadedComment ref="B66" dT="2026-03-16T08:26:28.06" personId="{556C3DC0-D6A1-4BB0-8FC7-44D4B3FA6C99}" id="{A2766C54-C0CE-4496-8473-ADE3622320B7}">
    <text>Keine monatl. Sondern jährliche Bilanzierung</text>
  </threadedComment>
  <threadedComment ref="F67" dT="2026-03-16T08:34:56.34" personId="{556C3DC0-D6A1-4BB0-8FC7-44D4B3FA6C99}" id="{4C715B20-832D-4ED8-AB2D-F7D454C66E94}">
    <text>Heizgradtage</text>
  </threadedComment>
  <threadedComment ref="H67" dT="2026-03-16T08:50:36.94" personId="{556C3DC0-D6A1-4BB0-8FC7-44D4B3FA6C99}" id="{B2094F6B-AF46-4D28-B411-CEFC3D9288E1}">
    <text>24 h Faktor zur Umrechnung von Tagen in Stunden
/1000 Umrechnung von Wattstunden in Kilowattstunden</text>
  </threadedComment>
  <threadedComment ref="F69" dT="2026-03-16T08:52:14.20" personId="{556C3DC0-D6A1-4BB0-8FC7-44D4B3FA6C99}" id="{74AE4D76-A303-43D5-8351-69DAC6877EFB}">
    <text>Langjähriges Mittel (20 Jahre) für Regensburg
Gradtagszahl</text>
  </threadedComment>
  <threadedComment ref="J72" dT="2026-03-17T14:06:01.83" personId="{556C3DC0-D6A1-4BB0-8FC7-44D4B3FA6C99}" id="{4583DE00-7599-4D6F-910B-DE3A83449788}">
    <text>/1000 Umrechnung von Wattstunden in Kilowattstunden</text>
  </threadedComment>
  <threadedComment ref="F99" dT="2026-03-19T14:39:46.53" personId="{556C3DC0-D6A1-4BB0-8FC7-44D4B3FA6C99}" id="{26B6FAF8-038F-49D1-8073-E9E94ED823ED}">
    <text>Fp aus Kat.2 Heizung Primärenergiefaktor
Gas</text>
  </threadedComment>
  <threadedComment ref="F105" dT="2026-03-20T09:53:11.04" personId="{556C3DC0-D6A1-4BB0-8FC7-44D4B3FA6C99}" id="{F8646A6B-B2F4-4BED-9A84-DF7BF53B5AE6}">
    <text>Umrechnungsfaktor</text>
  </threadedComment>
  <threadedComment ref="B109" dT="2026-03-20T10:33:01.54" personId="{556C3DC0-D6A1-4BB0-8FC7-44D4B3FA6C99}" id="{C9C1872E-0004-48AD-BC01-9C4A28F6A1A6}">
    <text>Gas = m²
Öl = l
Stückholt = rm (Raummeter)
Holzhackschnitzel = Scbm (Schüttraummeter)
Pellets = kg
Strom = kWh</text>
  </threadedComment>
  <threadedComment ref="F110" dT="2026-03-20T10:56:08.67" personId="{556C3DC0-D6A1-4BB0-8FC7-44D4B3FA6C99}" id="{250881D3-1AA5-46E7-9BFC-EECD0B43463E}">
    <text>Erdgas-Wert</text>
  </threadedComment>
  <threadedComment ref="D113" dT="2026-03-20T10:33:01.54" personId="{556C3DC0-D6A1-4BB0-8FC7-44D4B3FA6C99}" id="{C64CA3A2-1A8B-4CC0-AC91-FBBF48FE7F99}">
    <text>Gas = m²
Öl = l
Stückholt = rm (Raummeter)
Holzhackschnitzel = Scbm (Schüttraummeter)
Pellets = kg
Strom = kWh</text>
  </threadedComment>
  <threadedComment ref="F114" dT="2026-03-20T10:59:08.86" personId="{556C3DC0-D6A1-4BB0-8FC7-44D4B3FA6C99}" id="{F2F486FB-B994-4570-BEC6-B33124D26B7D}">
    <text>Beispiel Erdgas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63" dT="2026-04-15T07:22:07.01" personId="{556C3DC0-D6A1-4BB0-8FC7-44D4B3FA6C99}" id="{FC5F4E1D-F1AB-4980-A40B-BD538F3A61FE}">
    <text>Ralf nachhören, Faktor evtl bei Rewaq abfragen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8C6-0F28-46FD-AD16-99F00C06116E}">
  <dimension ref="A1:BF186"/>
  <sheetViews>
    <sheetView tabSelected="1" topLeftCell="A44" zoomScaleNormal="100" workbookViewId="0">
      <selection activeCell="AY81" sqref="AY81"/>
    </sheetView>
  </sheetViews>
  <sheetFormatPr baseColWidth="10" defaultRowHeight="14.4" outlineLevelCol="1" x14ac:dyDescent="0.3"/>
  <cols>
    <col min="1" max="1" width="21.5546875" customWidth="1"/>
    <col min="2" max="2" width="11.88671875" customWidth="1" outlineLevel="1"/>
    <col min="3" max="3" width="6.6640625" customWidth="1" outlineLevel="1"/>
    <col min="4" max="4" width="11.6640625" customWidth="1" outlineLevel="1"/>
    <col min="5" max="5" width="19.33203125" style="26" customWidth="1" outlineLevel="1"/>
    <col min="6" max="6" width="6.33203125" style="26" customWidth="1" outlineLevel="1"/>
    <col min="7" max="7" width="4.33203125" style="26" customWidth="1" outlineLevel="1"/>
    <col min="8" max="8" width="8.44140625" customWidth="1" outlineLevel="1"/>
    <col min="9" max="9" width="4.33203125" customWidth="1" outlineLevel="1"/>
    <col min="10" max="10" width="9.109375" customWidth="1" outlineLevel="1"/>
    <col min="11" max="11" width="5.88671875" customWidth="1" outlineLevel="1"/>
    <col min="12" max="12" width="13.88671875" customWidth="1" outlineLevel="1"/>
    <col min="13" max="13" width="11.44140625" customWidth="1" outlineLevel="1"/>
    <col min="14" max="14" width="2.44140625" customWidth="1" outlineLevel="1"/>
    <col min="15" max="15" width="10.109375" customWidth="1" outlineLevel="1"/>
    <col min="16" max="16" width="4.5546875" customWidth="1" outlineLevel="1"/>
    <col min="17" max="17" width="7.5546875" customWidth="1" outlineLevel="1"/>
    <col min="18" max="18" width="2.6640625" customWidth="1" outlineLevel="1"/>
    <col min="19" max="19" width="8.6640625" customWidth="1" outlineLevel="1"/>
    <col min="20" max="20" width="33" customWidth="1" outlineLevel="1"/>
    <col min="21" max="21" width="6" customWidth="1" outlineLevel="1"/>
    <col min="22" max="22" width="2.109375" customWidth="1" outlineLevel="1"/>
    <col min="23" max="23" width="5" customWidth="1" outlineLevel="1"/>
    <col min="24" max="24" width="2.88671875" customWidth="1" outlineLevel="1"/>
    <col min="25" max="25" width="5.6640625" customWidth="1" outlineLevel="1"/>
    <col min="26" max="26" width="2.33203125" customWidth="1" outlineLevel="1"/>
    <col min="27" max="27" width="5.88671875" customWidth="1" outlineLevel="1"/>
    <col min="28" max="28" width="6.33203125" customWidth="1" outlineLevel="1"/>
    <col min="29" max="29" width="1.88671875" customWidth="1" outlineLevel="1"/>
    <col min="30" max="30" width="5.109375" customWidth="1" outlineLevel="1"/>
    <col min="31" max="31" width="1.6640625" customWidth="1" outlineLevel="1"/>
    <col min="32" max="32" width="6.109375" customWidth="1" outlineLevel="1"/>
    <col min="33" max="33" width="1.44140625" customWidth="1" outlineLevel="1"/>
    <col min="34" max="34" width="7.109375" customWidth="1" outlineLevel="1"/>
    <col min="35" max="35" width="8.109375" customWidth="1" outlineLevel="1"/>
    <col min="36" max="36" width="2.5546875" customWidth="1" outlineLevel="1"/>
    <col min="37" max="37" width="5.5546875" customWidth="1" outlineLevel="1"/>
    <col min="38" max="38" width="3.5546875" customWidth="1" outlineLevel="1"/>
    <col min="39" max="39" width="6.109375" customWidth="1" outlineLevel="1"/>
    <col min="40" max="40" width="11.44140625" outlineLevel="1"/>
    <col min="41" max="41" width="40.5546875" customWidth="1" outlineLevel="1"/>
    <col min="42" max="42" width="17.6640625" customWidth="1" outlineLevel="1"/>
    <col min="43" max="43" width="13.88671875" hidden="1" customWidth="1"/>
    <col min="44" max="44" width="16.44140625" hidden="1" customWidth="1"/>
    <col min="45" max="45" width="0" hidden="1" customWidth="1"/>
    <col min="46" max="46" width="8.88671875" hidden="1" customWidth="1"/>
    <col min="47" max="47" width="13.44140625" customWidth="1"/>
    <col min="48" max="48" width="2" customWidth="1"/>
    <col min="49" max="49" width="5.33203125" customWidth="1"/>
    <col min="50" max="50" width="2.6640625" customWidth="1"/>
    <col min="52" max="52" width="4.5546875" customWidth="1"/>
    <col min="53" max="53" width="12.109375" customWidth="1"/>
    <col min="54" max="54" width="4.6640625" customWidth="1"/>
    <col min="55" max="55" width="13.109375" customWidth="1"/>
    <col min="56" max="56" width="2" customWidth="1"/>
    <col min="57" max="57" width="16.88671875" customWidth="1"/>
    <col min="58" max="58" width="19.5546875" customWidth="1"/>
  </cols>
  <sheetData>
    <row r="1" spans="21:55" ht="21" hidden="1" x14ac:dyDescent="0.4">
      <c r="U1" s="76" t="s">
        <v>92</v>
      </c>
      <c r="V1" s="101"/>
      <c r="W1" s="101"/>
      <c r="X1" s="101"/>
      <c r="Y1" s="101"/>
      <c r="Z1" s="101"/>
      <c r="AA1" s="101"/>
      <c r="AB1" s="153"/>
      <c r="AC1" s="17"/>
      <c r="AD1" s="17"/>
      <c r="AE1" s="17"/>
      <c r="AF1" s="17"/>
      <c r="AG1" s="17"/>
      <c r="AH1" s="18"/>
      <c r="AI1" s="17"/>
      <c r="AJ1" s="17"/>
      <c r="AK1" s="17"/>
      <c r="AL1" s="17"/>
      <c r="AM1" s="17"/>
      <c r="AN1" s="18"/>
      <c r="AO1" s="747" t="s">
        <v>0</v>
      </c>
      <c r="AP1" s="748"/>
      <c r="AQ1" s="747" t="s">
        <v>1</v>
      </c>
      <c r="AR1" s="763"/>
      <c r="AS1" s="763"/>
      <c r="AT1" s="748"/>
      <c r="AU1" s="747" t="s">
        <v>2</v>
      </c>
      <c r="AV1" s="763"/>
      <c r="AW1" s="763"/>
      <c r="AX1" s="763"/>
      <c r="AY1" s="763"/>
      <c r="AZ1" s="763"/>
      <c r="BA1" s="763"/>
      <c r="BB1" s="763"/>
      <c r="BC1" s="748"/>
    </row>
    <row r="2" spans="21:55" hidden="1" x14ac:dyDescent="0.3">
      <c r="U2" s="4" t="s">
        <v>89</v>
      </c>
      <c r="V2" s="39"/>
      <c r="W2" s="39"/>
      <c r="X2" s="39"/>
      <c r="Y2" s="39"/>
      <c r="Z2" s="39"/>
      <c r="AA2" s="39"/>
      <c r="AB2" s="52"/>
      <c r="AC2" s="39"/>
      <c r="AD2" s="39"/>
      <c r="AE2" s="39"/>
      <c r="AF2" s="39"/>
      <c r="AG2" s="39"/>
      <c r="AH2" s="53"/>
      <c r="AI2" s="39"/>
      <c r="AJ2" s="39"/>
      <c r="AK2" s="39"/>
      <c r="AL2" s="39"/>
      <c r="AM2" s="39"/>
      <c r="AN2" s="53"/>
      <c r="AO2" s="62"/>
      <c r="AP2" s="63"/>
      <c r="AQ2" s="62"/>
      <c r="AR2" s="33"/>
      <c r="AS2" s="33"/>
      <c r="AT2" s="63"/>
      <c r="AU2" s="62"/>
      <c r="AV2" s="33"/>
      <c r="AW2" s="33"/>
      <c r="AX2" s="33"/>
      <c r="AY2" s="33"/>
      <c r="AZ2" s="33"/>
      <c r="BA2" s="33"/>
      <c r="BB2" s="33"/>
      <c r="BC2" s="63"/>
    </row>
    <row r="3" spans="21:55" hidden="1" x14ac:dyDescent="0.3">
      <c r="U3" s="1"/>
      <c r="AB3" s="19" t="s">
        <v>33</v>
      </c>
      <c r="AH3" s="20"/>
      <c r="AN3" s="20"/>
      <c r="AO3" s="54" t="s">
        <v>91</v>
      </c>
      <c r="AP3" s="61"/>
      <c r="AQ3" s="54" t="s">
        <v>100</v>
      </c>
      <c r="AR3" s="69"/>
      <c r="AS3" s="69"/>
      <c r="AT3" s="61"/>
      <c r="AU3" s="54" t="s">
        <v>100</v>
      </c>
      <c r="AV3" s="69"/>
      <c r="AW3" s="69"/>
      <c r="AX3" s="69"/>
      <c r="AY3" s="69"/>
      <c r="AZ3" s="69"/>
      <c r="BA3" s="69"/>
      <c r="BB3" s="69"/>
      <c r="BC3" s="61"/>
    </row>
    <row r="4" spans="21:55" hidden="1" x14ac:dyDescent="0.3">
      <c r="U4" s="1"/>
      <c r="AB4" s="19" t="s">
        <v>90</v>
      </c>
      <c r="AH4" s="20"/>
      <c r="AN4" s="20"/>
      <c r="AO4" s="54" t="s">
        <v>91</v>
      </c>
      <c r="AP4" s="61"/>
      <c r="AQ4" s="54" t="s">
        <v>100</v>
      </c>
      <c r="AR4" s="69"/>
      <c r="AS4" s="69"/>
      <c r="AT4" s="61"/>
      <c r="AU4" s="54" t="s">
        <v>100</v>
      </c>
      <c r="AV4" s="69"/>
      <c r="AW4" s="69"/>
      <c r="AX4" s="69"/>
      <c r="AY4" s="69"/>
      <c r="AZ4" s="69"/>
      <c r="BA4" s="69"/>
      <c r="BB4" s="69"/>
      <c r="BC4" s="61"/>
    </row>
    <row r="5" spans="21:55" hidden="1" x14ac:dyDescent="0.3">
      <c r="U5" s="1"/>
      <c r="AB5" s="19" t="s">
        <v>93</v>
      </c>
      <c r="AH5" s="20"/>
      <c r="AI5" t="s">
        <v>106</v>
      </c>
      <c r="AN5" s="20"/>
      <c r="AO5" s="54" t="s">
        <v>91</v>
      </c>
      <c r="AP5" s="61"/>
      <c r="AQ5" s="54" t="s">
        <v>91</v>
      </c>
      <c r="AR5" s="69"/>
      <c r="AS5" s="69"/>
      <c r="AT5" s="61"/>
      <c r="AU5" s="54" t="s">
        <v>100</v>
      </c>
      <c r="AV5" s="69"/>
      <c r="AW5" s="69"/>
      <c r="AX5" s="69"/>
      <c r="AY5" s="69"/>
      <c r="AZ5" s="69"/>
      <c r="BA5" s="69"/>
      <c r="BB5" s="69"/>
      <c r="BC5" s="61"/>
    </row>
    <row r="6" spans="21:55" hidden="1" x14ac:dyDescent="0.3">
      <c r="U6" s="3"/>
      <c r="V6" s="40"/>
      <c r="W6" s="40"/>
      <c r="X6" s="40"/>
      <c r="Y6" s="40"/>
      <c r="Z6" s="40"/>
      <c r="AA6" s="40"/>
      <c r="AB6" s="46"/>
      <c r="AC6" s="40"/>
      <c r="AD6" s="40"/>
      <c r="AE6" s="40"/>
      <c r="AF6" s="40"/>
      <c r="AG6" s="40"/>
      <c r="AH6" s="47"/>
      <c r="AI6" s="40"/>
      <c r="AJ6" s="40"/>
      <c r="AK6" s="40"/>
      <c r="AL6" s="40"/>
      <c r="AM6" s="40"/>
      <c r="AN6" s="47"/>
      <c r="AO6" s="64"/>
      <c r="AP6" s="65"/>
      <c r="AQ6" s="64"/>
      <c r="AR6" s="66"/>
      <c r="AS6" s="66"/>
      <c r="AT6" s="65"/>
      <c r="AU6" s="64"/>
      <c r="AV6" s="66"/>
      <c r="AW6" s="66"/>
      <c r="AX6" s="66"/>
      <c r="AY6" s="66"/>
      <c r="AZ6" s="66"/>
      <c r="BA6" s="66"/>
      <c r="BB6" s="66"/>
      <c r="BC6" s="65"/>
    </row>
    <row r="7" spans="21:55" hidden="1" x14ac:dyDescent="0.3">
      <c r="U7" s="1" t="s">
        <v>53</v>
      </c>
      <c r="AB7" s="19"/>
      <c r="AH7" s="20"/>
      <c r="AN7" s="20"/>
      <c r="AO7" s="54"/>
      <c r="AP7" s="61"/>
      <c r="AQ7" s="54"/>
      <c r="AR7" s="69"/>
      <c r="AS7" s="69"/>
      <c r="AT7" s="61"/>
      <c r="AU7" s="54"/>
      <c r="AV7" s="69"/>
      <c r="AW7" s="69"/>
      <c r="AX7" s="69"/>
      <c r="AY7" s="69"/>
      <c r="AZ7" s="69"/>
      <c r="BA7" s="69"/>
      <c r="BB7" s="69"/>
      <c r="BC7" s="61"/>
    </row>
    <row r="8" spans="21:55" hidden="1" x14ac:dyDescent="0.3">
      <c r="U8" s="1"/>
      <c r="AB8" s="19" t="s">
        <v>94</v>
      </c>
      <c r="AH8" s="20"/>
      <c r="AN8" s="20"/>
      <c r="AO8" s="54" t="s">
        <v>91</v>
      </c>
      <c r="AP8" s="61"/>
      <c r="AQ8" s="54" t="s">
        <v>100</v>
      </c>
      <c r="AR8" s="69"/>
      <c r="AS8" s="69"/>
      <c r="AT8" s="61"/>
      <c r="AU8" s="54" t="s">
        <v>100</v>
      </c>
      <c r="AV8" s="69"/>
      <c r="AW8" s="69"/>
      <c r="AX8" s="69"/>
      <c r="AY8" s="69"/>
      <c r="AZ8" s="69"/>
      <c r="BA8" s="69"/>
      <c r="BB8" s="69"/>
      <c r="BC8" s="61"/>
    </row>
    <row r="9" spans="21:55" hidden="1" x14ac:dyDescent="0.3">
      <c r="U9" s="1"/>
      <c r="AB9" s="19" t="s">
        <v>109</v>
      </c>
      <c r="AH9" s="20"/>
      <c r="AN9" s="20"/>
      <c r="AO9" s="54" t="s">
        <v>91</v>
      </c>
      <c r="AP9" s="61"/>
      <c r="AQ9" s="54" t="s">
        <v>100</v>
      </c>
      <c r="AR9" s="69"/>
      <c r="AS9" s="69"/>
      <c r="AT9" s="61"/>
      <c r="AU9" s="54" t="s">
        <v>100</v>
      </c>
      <c r="AV9" s="69"/>
      <c r="AW9" s="69"/>
      <c r="AX9" s="69"/>
      <c r="AY9" s="69"/>
      <c r="AZ9" s="69"/>
      <c r="BA9" s="69"/>
      <c r="BB9" s="69"/>
      <c r="BC9" s="61"/>
    </row>
    <row r="10" spans="21:55" hidden="1" x14ac:dyDescent="0.3">
      <c r="U10" s="1"/>
      <c r="AB10" s="19" t="s">
        <v>113</v>
      </c>
      <c r="AH10" s="20"/>
      <c r="AN10" s="20"/>
      <c r="AO10" s="54" t="s">
        <v>91</v>
      </c>
      <c r="AP10" s="61"/>
      <c r="AQ10" s="54" t="s">
        <v>100</v>
      </c>
      <c r="AR10" s="69"/>
      <c r="AS10" s="69"/>
      <c r="AT10" s="61"/>
      <c r="AU10" s="54" t="s">
        <v>100</v>
      </c>
      <c r="AV10" s="69"/>
      <c r="AW10" s="69"/>
      <c r="AX10" s="69"/>
      <c r="AY10" s="69"/>
      <c r="AZ10" s="69"/>
      <c r="BA10" s="69"/>
      <c r="BB10" s="69"/>
      <c r="BC10" s="61"/>
    </row>
    <row r="11" spans="21:55" hidden="1" x14ac:dyDescent="0.3">
      <c r="U11" s="1"/>
      <c r="AB11" s="19" t="s">
        <v>95</v>
      </c>
      <c r="AH11" s="20"/>
      <c r="AN11" s="20"/>
      <c r="AO11" s="54" t="s">
        <v>91</v>
      </c>
      <c r="AP11" s="61"/>
      <c r="AQ11" s="54" t="s">
        <v>100</v>
      </c>
      <c r="AR11" s="69"/>
      <c r="AS11" s="69"/>
      <c r="AT11" s="61"/>
      <c r="AU11" s="54" t="s">
        <v>100</v>
      </c>
      <c r="AV11" s="69"/>
      <c r="AW11" s="69"/>
      <c r="AX11" s="69"/>
      <c r="AY11" s="69"/>
      <c r="AZ11" s="69"/>
      <c r="BA11" s="69"/>
      <c r="BB11" s="69"/>
      <c r="BC11" s="61"/>
    </row>
    <row r="12" spans="21:55" hidden="1" x14ac:dyDescent="0.3">
      <c r="U12" s="1"/>
      <c r="AB12" s="19" t="s">
        <v>96</v>
      </c>
      <c r="AH12" s="20"/>
      <c r="AN12" s="20"/>
      <c r="AO12" s="54" t="s">
        <v>91</v>
      </c>
      <c r="AP12" s="61"/>
      <c r="AQ12" s="54" t="s">
        <v>91</v>
      </c>
      <c r="AR12" s="69"/>
      <c r="AS12" s="69"/>
      <c r="AT12" s="61"/>
      <c r="AU12" s="54" t="s">
        <v>100</v>
      </c>
      <c r="AV12" s="69"/>
      <c r="AW12" s="69"/>
      <c r="AX12" s="69"/>
      <c r="AY12" s="69"/>
      <c r="AZ12" s="69"/>
      <c r="BA12" s="69"/>
      <c r="BB12" s="69"/>
      <c r="BC12" s="61"/>
    </row>
    <row r="13" spans="21:55" hidden="1" x14ac:dyDescent="0.3">
      <c r="U13" s="1"/>
      <c r="AB13" s="19" t="s">
        <v>99</v>
      </c>
      <c r="AH13" s="20"/>
      <c r="AN13" s="20"/>
      <c r="AO13" s="54" t="s">
        <v>91</v>
      </c>
      <c r="AP13" s="61"/>
      <c r="AQ13" s="54" t="s">
        <v>91</v>
      </c>
      <c r="AR13" s="69"/>
      <c r="AS13" s="69"/>
      <c r="AT13" s="61"/>
      <c r="AU13" s="54" t="s">
        <v>100</v>
      </c>
      <c r="AV13" s="69"/>
      <c r="AW13" s="69"/>
      <c r="AX13" s="69"/>
      <c r="AY13" s="69"/>
      <c r="AZ13" s="69"/>
      <c r="BA13" s="69"/>
      <c r="BB13" s="69"/>
      <c r="BC13" s="61"/>
    </row>
    <row r="14" spans="21:55" hidden="1" x14ac:dyDescent="0.3">
      <c r="U14" s="1"/>
      <c r="AB14" s="19" t="s">
        <v>97</v>
      </c>
      <c r="AH14" s="20"/>
      <c r="AI14" t="s">
        <v>98</v>
      </c>
      <c r="AN14" s="20"/>
      <c r="AO14" s="54" t="s">
        <v>91</v>
      </c>
      <c r="AP14" s="61"/>
      <c r="AQ14" s="54" t="s">
        <v>91</v>
      </c>
      <c r="AR14" s="69"/>
      <c r="AS14" s="69"/>
      <c r="AT14" s="61"/>
      <c r="AU14" s="54" t="s">
        <v>100</v>
      </c>
      <c r="AV14" s="69"/>
      <c r="AW14" s="69"/>
      <c r="AX14" s="69"/>
      <c r="AY14" s="69"/>
      <c r="AZ14" s="69"/>
      <c r="BA14" s="69"/>
      <c r="BB14" s="69"/>
      <c r="BC14" s="61"/>
    </row>
    <row r="15" spans="21:55" hidden="1" x14ac:dyDescent="0.3">
      <c r="U15" s="1"/>
      <c r="AB15" s="19"/>
      <c r="AH15" s="20"/>
      <c r="AN15" s="20"/>
      <c r="AO15" s="54"/>
      <c r="AP15" s="61"/>
      <c r="AQ15" s="54"/>
      <c r="AR15" s="69"/>
      <c r="AS15" s="69"/>
      <c r="AT15" s="61"/>
      <c r="AU15" s="54"/>
      <c r="AV15" s="69"/>
      <c r="AW15" s="69"/>
      <c r="AX15" s="69"/>
      <c r="AY15" s="69"/>
      <c r="AZ15" s="69"/>
      <c r="BA15" s="69"/>
      <c r="BB15" s="69"/>
      <c r="BC15" s="61"/>
    </row>
    <row r="16" spans="21:55" hidden="1" x14ac:dyDescent="0.3">
      <c r="U16" s="4" t="s">
        <v>103</v>
      </c>
      <c r="V16" s="39"/>
      <c r="W16" s="39"/>
      <c r="X16" s="39"/>
      <c r="Y16" s="39"/>
      <c r="Z16" s="39"/>
      <c r="AA16" s="39"/>
      <c r="AB16" s="52"/>
      <c r="AC16" s="39"/>
      <c r="AD16" s="39"/>
      <c r="AE16" s="39"/>
      <c r="AF16" s="39"/>
      <c r="AG16" s="39"/>
      <c r="AH16" s="53"/>
      <c r="AI16" s="39"/>
      <c r="AJ16" s="39"/>
      <c r="AK16" s="39"/>
      <c r="AL16" s="39"/>
      <c r="AM16" s="39"/>
      <c r="AN16" s="53"/>
      <c r="AO16" s="52"/>
      <c r="AP16" s="63"/>
      <c r="AQ16" s="62"/>
      <c r="AR16" s="33"/>
      <c r="AS16" s="33"/>
      <c r="AT16" s="63"/>
      <c r="AU16" s="62"/>
      <c r="AV16" s="33"/>
      <c r="AW16" s="33"/>
      <c r="AX16" s="33"/>
      <c r="AY16" s="33"/>
      <c r="AZ16" s="33"/>
      <c r="BA16" s="33"/>
      <c r="BB16" s="33"/>
      <c r="BC16" s="63"/>
    </row>
    <row r="17" spans="21:55" hidden="1" x14ac:dyDescent="0.3">
      <c r="U17" s="1"/>
      <c r="AB17" s="19" t="s">
        <v>94</v>
      </c>
      <c r="AH17" s="20"/>
      <c r="AN17" s="20"/>
      <c r="AO17" s="54" t="s">
        <v>91</v>
      </c>
      <c r="AP17" s="61"/>
      <c r="AQ17" s="54" t="s">
        <v>100</v>
      </c>
      <c r="AR17" s="69"/>
      <c r="AS17" s="69"/>
      <c r="AT17" s="61"/>
      <c r="AU17" s="54" t="s">
        <v>100</v>
      </c>
      <c r="AV17" s="69"/>
      <c r="AW17" s="69"/>
      <c r="AX17" s="69"/>
      <c r="AY17" s="69"/>
      <c r="AZ17" s="69"/>
      <c r="BA17" s="69"/>
      <c r="BB17" s="69"/>
      <c r="BC17" s="61"/>
    </row>
    <row r="18" spans="21:55" hidden="1" x14ac:dyDescent="0.3">
      <c r="U18" s="1"/>
      <c r="AB18" s="19" t="s">
        <v>109</v>
      </c>
      <c r="AH18" s="20"/>
      <c r="AN18" s="20"/>
      <c r="AO18" s="54" t="s">
        <v>91</v>
      </c>
      <c r="AP18" s="61"/>
      <c r="AQ18" s="54" t="s">
        <v>100</v>
      </c>
      <c r="AR18" s="69"/>
      <c r="AS18" s="69"/>
      <c r="AT18" s="61"/>
      <c r="AU18" s="54" t="s">
        <v>100</v>
      </c>
      <c r="AV18" s="69"/>
      <c r="AW18" s="69"/>
      <c r="AX18" s="69"/>
      <c r="AY18" s="69"/>
      <c r="AZ18" s="69"/>
      <c r="BA18" s="69"/>
      <c r="BB18" s="69"/>
      <c r="BC18" s="61"/>
    </row>
    <row r="19" spans="21:55" hidden="1" x14ac:dyDescent="0.3">
      <c r="U19" s="1"/>
      <c r="AB19" s="19" t="s">
        <v>95</v>
      </c>
      <c r="AH19" s="20"/>
      <c r="AN19" s="20"/>
      <c r="AO19" s="54" t="s">
        <v>91</v>
      </c>
      <c r="AP19" s="61"/>
      <c r="AQ19" s="54" t="s">
        <v>100</v>
      </c>
      <c r="AR19" s="69"/>
      <c r="AS19" s="69"/>
      <c r="AT19" s="61"/>
      <c r="AU19" s="54" t="s">
        <v>100</v>
      </c>
      <c r="AV19" s="69"/>
      <c r="AW19" s="69"/>
      <c r="AX19" s="69"/>
      <c r="AY19" s="69"/>
      <c r="AZ19" s="69"/>
      <c r="BA19" s="69"/>
      <c r="BB19" s="69"/>
      <c r="BC19" s="61"/>
    </row>
    <row r="20" spans="21:55" hidden="1" x14ac:dyDescent="0.3">
      <c r="U20" s="1"/>
      <c r="AB20" s="19" t="s">
        <v>96</v>
      </c>
      <c r="AH20" s="20"/>
      <c r="AN20" s="20"/>
      <c r="AO20" s="54" t="s">
        <v>91</v>
      </c>
      <c r="AP20" s="61"/>
      <c r="AQ20" s="54" t="s">
        <v>91</v>
      </c>
      <c r="AR20" s="69"/>
      <c r="AS20" s="69"/>
      <c r="AT20" s="61"/>
      <c r="AU20" s="54" t="s">
        <v>100</v>
      </c>
      <c r="AV20" s="69"/>
      <c r="AW20" s="69"/>
      <c r="AX20" s="69"/>
      <c r="AY20" s="69"/>
      <c r="AZ20" s="69"/>
      <c r="BA20" s="69"/>
      <c r="BB20" s="69"/>
      <c r="BC20" s="61"/>
    </row>
    <row r="21" spans="21:55" hidden="1" x14ac:dyDescent="0.3">
      <c r="U21" s="1"/>
      <c r="AB21" s="19" t="s">
        <v>99</v>
      </c>
      <c r="AH21" s="20"/>
      <c r="AN21" s="20"/>
      <c r="AO21" s="54" t="s">
        <v>91</v>
      </c>
      <c r="AP21" s="61"/>
      <c r="AQ21" s="54" t="s">
        <v>91</v>
      </c>
      <c r="AR21" s="69"/>
      <c r="AS21" s="69"/>
      <c r="AT21" s="61"/>
      <c r="AU21" s="54" t="s">
        <v>100</v>
      </c>
      <c r="AV21" s="69"/>
      <c r="AW21" s="69"/>
      <c r="AX21" s="69"/>
      <c r="AY21" s="69"/>
      <c r="AZ21" s="69"/>
      <c r="BA21" s="69"/>
      <c r="BB21" s="69"/>
      <c r="BC21" s="61"/>
    </row>
    <row r="22" spans="21:55" hidden="1" x14ac:dyDescent="0.3">
      <c r="U22" s="1"/>
      <c r="AB22" s="19" t="s">
        <v>97</v>
      </c>
      <c r="AH22" s="20"/>
      <c r="AN22" s="20"/>
      <c r="AO22" s="54" t="s">
        <v>91</v>
      </c>
      <c r="AP22" s="61"/>
      <c r="AQ22" s="54" t="s">
        <v>91</v>
      </c>
      <c r="AR22" s="69"/>
      <c r="AS22" s="69"/>
      <c r="AT22" s="61"/>
      <c r="AU22" s="54" t="s">
        <v>100</v>
      </c>
      <c r="AV22" s="69"/>
      <c r="AW22" s="69"/>
      <c r="AX22" s="69"/>
      <c r="AY22" s="69"/>
      <c r="AZ22" s="69"/>
      <c r="BA22" s="69"/>
      <c r="BB22" s="69"/>
      <c r="BC22" s="61"/>
    </row>
    <row r="23" spans="21:55" hidden="1" x14ac:dyDescent="0.3">
      <c r="U23" s="3"/>
      <c r="V23" s="40"/>
      <c r="W23" s="40"/>
      <c r="X23" s="40"/>
      <c r="Y23" s="40"/>
      <c r="Z23" s="40"/>
      <c r="AA23" s="40"/>
      <c r="AB23" s="46"/>
      <c r="AC23" s="40"/>
      <c r="AD23" s="40"/>
      <c r="AE23" s="40"/>
      <c r="AF23" s="40"/>
      <c r="AG23" s="40"/>
      <c r="AH23" s="47"/>
      <c r="AI23" s="40"/>
      <c r="AJ23" s="40"/>
      <c r="AK23" s="40"/>
      <c r="AL23" s="40"/>
      <c r="AM23" s="40"/>
      <c r="AN23" s="47"/>
      <c r="AO23" s="64"/>
      <c r="AP23" s="65"/>
      <c r="AQ23" s="64"/>
      <c r="AR23" s="66"/>
      <c r="AS23" s="66"/>
      <c r="AT23" s="65"/>
      <c r="AU23" s="64"/>
      <c r="AV23" s="66"/>
      <c r="AW23" s="66"/>
      <c r="AX23" s="66"/>
      <c r="AY23" s="66"/>
      <c r="AZ23" s="66"/>
      <c r="BA23" s="66"/>
      <c r="BB23" s="66"/>
      <c r="BC23" s="65"/>
    </row>
    <row r="24" spans="21:55" hidden="1" x14ac:dyDescent="0.3">
      <c r="U24" s="4" t="s">
        <v>102</v>
      </c>
      <c r="V24" s="39"/>
      <c r="W24" s="39"/>
      <c r="X24" s="39"/>
      <c r="Y24" s="39"/>
      <c r="Z24" s="39"/>
      <c r="AA24" s="39"/>
      <c r="AB24" s="52"/>
      <c r="AC24" s="39"/>
      <c r="AD24" s="39"/>
      <c r="AE24" s="39"/>
      <c r="AF24" s="39"/>
      <c r="AG24" s="39"/>
      <c r="AH24" s="53"/>
      <c r="AI24" s="39"/>
      <c r="AJ24" s="39"/>
      <c r="AK24" s="39"/>
      <c r="AL24" s="39"/>
      <c r="AM24" s="39"/>
      <c r="AN24" s="53"/>
      <c r="AO24" s="52"/>
      <c r="AP24" s="63"/>
      <c r="AQ24" s="62"/>
      <c r="AR24" s="33"/>
      <c r="AS24" s="33"/>
      <c r="AT24" s="63"/>
      <c r="AU24" s="62"/>
      <c r="AV24" s="33"/>
      <c r="AW24" s="33"/>
      <c r="AX24" s="33"/>
      <c r="AY24" s="33"/>
      <c r="AZ24" s="33"/>
      <c r="BA24" s="33"/>
      <c r="BB24" s="33"/>
      <c r="BC24" s="63"/>
    </row>
    <row r="25" spans="21:55" hidden="1" x14ac:dyDescent="0.3">
      <c r="U25" s="1"/>
      <c r="AB25" s="19" t="s">
        <v>94</v>
      </c>
      <c r="AH25" s="20"/>
      <c r="AN25" s="20"/>
      <c r="AO25" s="54" t="s">
        <v>91</v>
      </c>
      <c r="AP25" s="61"/>
      <c r="AQ25" s="54" t="s">
        <v>100</v>
      </c>
      <c r="AR25" s="69"/>
      <c r="AS25" s="69"/>
      <c r="AT25" s="61"/>
      <c r="AU25" s="54" t="s">
        <v>100</v>
      </c>
      <c r="AV25" s="69"/>
      <c r="AW25" s="69"/>
      <c r="AX25" s="69"/>
      <c r="AY25" s="69"/>
      <c r="AZ25" s="69"/>
      <c r="BA25" s="69"/>
      <c r="BB25" s="69"/>
      <c r="BC25" s="61"/>
    </row>
    <row r="26" spans="21:55" hidden="1" x14ac:dyDescent="0.3">
      <c r="U26" s="1"/>
      <c r="AB26" s="19" t="s">
        <v>109</v>
      </c>
      <c r="AH26" s="20"/>
      <c r="AN26" s="20"/>
      <c r="AO26" s="54" t="s">
        <v>91</v>
      </c>
      <c r="AP26" s="61"/>
      <c r="AQ26" s="54" t="s">
        <v>100</v>
      </c>
      <c r="AR26" s="69"/>
      <c r="AS26" s="69"/>
      <c r="AT26" s="61"/>
      <c r="AU26" s="54" t="s">
        <v>100</v>
      </c>
      <c r="AV26" s="69"/>
      <c r="AW26" s="69"/>
      <c r="AX26" s="69"/>
      <c r="AY26" s="69"/>
      <c r="AZ26" s="69"/>
      <c r="BA26" s="69"/>
      <c r="BB26" s="69"/>
      <c r="BC26" s="61"/>
    </row>
    <row r="27" spans="21:55" hidden="1" x14ac:dyDescent="0.3">
      <c r="U27" s="1"/>
      <c r="AB27" s="19" t="s">
        <v>95</v>
      </c>
      <c r="AH27" s="20"/>
      <c r="AN27" s="20"/>
      <c r="AO27" s="54" t="s">
        <v>91</v>
      </c>
      <c r="AP27" s="61"/>
      <c r="AQ27" s="54" t="s">
        <v>100</v>
      </c>
      <c r="AR27" s="69"/>
      <c r="AS27" s="69"/>
      <c r="AT27" s="61"/>
      <c r="AU27" s="54" t="s">
        <v>100</v>
      </c>
      <c r="AV27" s="69"/>
      <c r="AW27" s="69"/>
      <c r="AX27" s="69"/>
      <c r="AY27" s="69"/>
      <c r="AZ27" s="69"/>
      <c r="BA27" s="69"/>
      <c r="BB27" s="69"/>
      <c r="BC27" s="61"/>
    </row>
    <row r="28" spans="21:55" hidden="1" x14ac:dyDescent="0.3">
      <c r="U28" s="1"/>
      <c r="AB28" s="19" t="s">
        <v>96</v>
      </c>
      <c r="AH28" s="20"/>
      <c r="AN28" s="20"/>
      <c r="AO28" s="54" t="s">
        <v>91</v>
      </c>
      <c r="AP28" s="61"/>
      <c r="AQ28" s="54" t="s">
        <v>91</v>
      </c>
      <c r="AR28" s="69"/>
      <c r="AS28" s="69"/>
      <c r="AT28" s="61"/>
      <c r="AU28" s="54" t="s">
        <v>100</v>
      </c>
      <c r="AV28" s="69"/>
      <c r="AW28" s="69"/>
      <c r="AX28" s="69"/>
      <c r="AY28" s="69"/>
      <c r="AZ28" s="69"/>
      <c r="BA28" s="69"/>
      <c r="BB28" s="69"/>
      <c r="BC28" s="61"/>
    </row>
    <row r="29" spans="21:55" hidden="1" x14ac:dyDescent="0.3">
      <c r="U29" s="1"/>
      <c r="AB29" s="19" t="s">
        <v>99</v>
      </c>
      <c r="AH29" s="20"/>
      <c r="AN29" s="20"/>
      <c r="AO29" s="54" t="s">
        <v>91</v>
      </c>
      <c r="AP29" s="61"/>
      <c r="AQ29" s="54" t="s">
        <v>91</v>
      </c>
      <c r="AR29" s="69"/>
      <c r="AS29" s="69"/>
      <c r="AT29" s="61"/>
      <c r="AU29" s="54" t="s">
        <v>100</v>
      </c>
      <c r="AV29" s="69"/>
      <c r="AW29" s="69"/>
      <c r="AX29" s="69"/>
      <c r="AY29" s="69"/>
      <c r="AZ29" s="69"/>
      <c r="BA29" s="69"/>
      <c r="BB29" s="69"/>
      <c r="BC29" s="61"/>
    </row>
    <row r="30" spans="21:55" hidden="1" x14ac:dyDescent="0.3">
      <c r="U30" s="1"/>
      <c r="AB30" s="19" t="s">
        <v>97</v>
      </c>
      <c r="AH30" s="20"/>
      <c r="AN30" s="20"/>
      <c r="AO30" s="54" t="s">
        <v>91</v>
      </c>
      <c r="AP30" s="61"/>
      <c r="AQ30" s="54" t="s">
        <v>91</v>
      </c>
      <c r="AR30" s="69"/>
      <c r="AS30" s="69"/>
      <c r="AT30" s="61"/>
      <c r="AU30" s="54" t="s">
        <v>100</v>
      </c>
      <c r="AV30" s="69"/>
      <c r="AW30" s="69"/>
      <c r="AX30" s="69"/>
      <c r="AY30" s="69"/>
      <c r="AZ30" s="69"/>
      <c r="BA30" s="69"/>
      <c r="BB30" s="69"/>
      <c r="BC30" s="61"/>
    </row>
    <row r="31" spans="21:55" hidden="1" x14ac:dyDescent="0.3">
      <c r="U31" s="3"/>
      <c r="V31" s="40"/>
      <c r="W31" s="40"/>
      <c r="X31" s="40"/>
      <c r="Y31" s="40"/>
      <c r="Z31" s="40"/>
      <c r="AA31" s="40"/>
      <c r="AB31" s="46"/>
      <c r="AC31" s="40"/>
      <c r="AD31" s="40"/>
      <c r="AE31" s="40"/>
      <c r="AF31" s="40"/>
      <c r="AG31" s="40"/>
      <c r="AH31" s="47"/>
      <c r="AI31" s="40"/>
      <c r="AJ31" s="40"/>
      <c r="AK31" s="40"/>
      <c r="AL31" s="40"/>
      <c r="AM31" s="40"/>
      <c r="AN31" s="47"/>
      <c r="AO31" s="64"/>
      <c r="AP31" s="65"/>
      <c r="AQ31" s="64"/>
      <c r="AR31" s="66"/>
      <c r="AS31" s="66"/>
      <c r="AT31" s="65"/>
      <c r="AU31" s="64"/>
      <c r="AV31" s="66"/>
      <c r="AW31" s="66"/>
      <c r="AX31" s="66"/>
      <c r="AY31" s="66"/>
      <c r="AZ31" s="66"/>
      <c r="BA31" s="66"/>
      <c r="BB31" s="66"/>
      <c r="BC31" s="65"/>
    </row>
    <row r="32" spans="21:55" hidden="1" x14ac:dyDescent="0.3">
      <c r="U32" s="4" t="s">
        <v>104</v>
      </c>
      <c r="V32" s="39"/>
      <c r="W32" s="39"/>
      <c r="X32" s="39"/>
      <c r="Y32" s="39"/>
      <c r="Z32" s="39"/>
      <c r="AA32" s="39"/>
      <c r="AB32" s="52"/>
      <c r="AC32" s="39"/>
      <c r="AD32" s="39"/>
      <c r="AE32" s="39"/>
      <c r="AF32" s="39"/>
      <c r="AG32" s="39"/>
      <c r="AH32" s="53"/>
      <c r="AI32" s="39"/>
      <c r="AJ32" s="39"/>
      <c r="AK32" s="39"/>
      <c r="AL32" s="39"/>
      <c r="AM32" s="39"/>
      <c r="AN32" s="53"/>
      <c r="AO32" s="52"/>
      <c r="AP32" s="63"/>
      <c r="AQ32" s="62"/>
      <c r="AR32" s="33"/>
      <c r="AS32" s="33"/>
      <c r="AT32" s="63"/>
      <c r="AU32" s="62"/>
      <c r="AV32" s="33"/>
      <c r="AW32" s="33"/>
      <c r="AX32" s="33"/>
      <c r="AY32" s="33"/>
      <c r="AZ32" s="33"/>
      <c r="BA32" s="33"/>
      <c r="BB32" s="33"/>
      <c r="BC32" s="63"/>
    </row>
    <row r="33" spans="1:55" hidden="1" x14ac:dyDescent="0.3">
      <c r="U33" s="1"/>
      <c r="AB33" s="19" t="s">
        <v>94</v>
      </c>
      <c r="AH33" s="20"/>
      <c r="AN33" s="20"/>
      <c r="AO33" s="54" t="s">
        <v>91</v>
      </c>
      <c r="AP33" s="61"/>
      <c r="AQ33" s="54" t="s">
        <v>100</v>
      </c>
      <c r="AR33" s="69"/>
      <c r="AS33" s="69"/>
      <c r="AT33" s="61"/>
      <c r="AU33" s="54" t="s">
        <v>100</v>
      </c>
      <c r="AV33" s="69"/>
      <c r="AW33" s="69"/>
      <c r="AX33" s="69"/>
      <c r="AY33" s="69"/>
      <c r="AZ33" s="69"/>
      <c r="BA33" s="69"/>
      <c r="BB33" s="69"/>
      <c r="BC33" s="61"/>
    </row>
    <row r="34" spans="1:55" hidden="1" x14ac:dyDescent="0.3">
      <c r="U34" s="1"/>
      <c r="AB34" s="19" t="s">
        <v>109</v>
      </c>
      <c r="AH34" s="20"/>
      <c r="AN34" s="20"/>
      <c r="AO34" s="54" t="s">
        <v>91</v>
      </c>
      <c r="AP34" s="61"/>
      <c r="AQ34" s="54" t="s">
        <v>100</v>
      </c>
      <c r="AR34" s="69"/>
      <c r="AS34" s="69"/>
      <c r="AT34" s="61"/>
      <c r="AU34" s="54" t="s">
        <v>100</v>
      </c>
      <c r="AV34" s="69"/>
      <c r="AW34" s="69"/>
      <c r="AX34" s="69"/>
      <c r="AY34" s="69"/>
      <c r="AZ34" s="69"/>
      <c r="BA34" s="69"/>
      <c r="BB34" s="69"/>
      <c r="BC34" s="61"/>
    </row>
    <row r="35" spans="1:55" hidden="1" x14ac:dyDescent="0.3">
      <c r="U35" s="1"/>
      <c r="AB35" s="19" t="s">
        <v>97</v>
      </c>
      <c r="AH35" s="20"/>
      <c r="AN35" s="20"/>
      <c r="AO35" s="54" t="s">
        <v>91</v>
      </c>
      <c r="AP35" s="61"/>
      <c r="AQ35" s="54" t="s">
        <v>91</v>
      </c>
      <c r="AR35" s="69"/>
      <c r="AS35" s="69"/>
      <c r="AT35" s="61"/>
      <c r="AU35" s="54" t="s">
        <v>100</v>
      </c>
      <c r="AV35" s="69"/>
      <c r="AW35" s="69"/>
      <c r="AX35" s="69"/>
      <c r="AY35" s="69"/>
      <c r="AZ35" s="69"/>
      <c r="BA35" s="69"/>
      <c r="BB35" s="69"/>
      <c r="BC35" s="61"/>
    </row>
    <row r="36" spans="1:55" hidden="1" x14ac:dyDescent="0.3">
      <c r="U36" s="3"/>
      <c r="V36" s="40"/>
      <c r="W36" s="40"/>
      <c r="X36" s="40"/>
      <c r="Y36" s="40"/>
      <c r="Z36" s="40"/>
      <c r="AA36" s="40"/>
      <c r="AB36" s="46"/>
      <c r="AC36" s="40"/>
      <c r="AD36" s="40"/>
      <c r="AE36" s="40"/>
      <c r="AF36" s="40"/>
      <c r="AG36" s="40"/>
      <c r="AH36" s="47"/>
      <c r="AI36" s="40"/>
      <c r="AJ36" s="40"/>
      <c r="AK36" s="40"/>
      <c r="AL36" s="40"/>
      <c r="AM36" s="40"/>
      <c r="AN36" s="47"/>
      <c r="AO36" s="64"/>
      <c r="AP36" s="65"/>
      <c r="AQ36" s="64"/>
      <c r="AR36" s="66"/>
      <c r="AS36" s="66"/>
      <c r="AT36" s="65"/>
      <c r="AU36" s="64"/>
      <c r="AV36" s="66"/>
      <c r="AW36" s="66"/>
      <c r="AX36" s="66"/>
      <c r="AY36" s="66"/>
      <c r="AZ36" s="66"/>
      <c r="BA36" s="66"/>
      <c r="BB36" s="66"/>
      <c r="BC36" s="65"/>
    </row>
    <row r="37" spans="1:55" hidden="1" x14ac:dyDescent="0.3">
      <c r="U37" s="4" t="s">
        <v>105</v>
      </c>
      <c r="V37" s="39"/>
      <c r="W37" s="39"/>
      <c r="X37" s="39"/>
      <c r="Y37" s="39"/>
      <c r="Z37" s="39"/>
      <c r="AA37" s="39"/>
      <c r="AB37" s="52"/>
      <c r="AC37" s="39"/>
      <c r="AD37" s="39"/>
      <c r="AE37" s="39"/>
      <c r="AF37" s="39"/>
      <c r="AG37" s="39"/>
      <c r="AH37" s="53"/>
      <c r="AI37" s="39"/>
      <c r="AJ37" s="39"/>
      <c r="AK37" s="39"/>
      <c r="AL37" s="39"/>
      <c r="AM37" s="39"/>
      <c r="AN37" s="53"/>
      <c r="AO37" s="52"/>
      <c r="AP37" s="63"/>
      <c r="AQ37" s="62"/>
      <c r="AR37" s="33"/>
      <c r="AS37" s="33"/>
      <c r="AT37" s="63"/>
      <c r="AU37" s="62"/>
      <c r="AV37" s="33"/>
      <c r="AW37" s="33"/>
      <c r="AX37" s="33"/>
      <c r="AY37" s="33"/>
      <c r="AZ37" s="33"/>
      <c r="BA37" s="33"/>
      <c r="BB37" s="33"/>
      <c r="BC37" s="63"/>
    </row>
    <row r="38" spans="1:55" hidden="1" x14ac:dyDescent="0.3">
      <c r="U38" s="1"/>
      <c r="AB38" s="19" t="s">
        <v>94</v>
      </c>
      <c r="AH38" s="20"/>
      <c r="AN38" s="20"/>
      <c r="AO38" s="54" t="s">
        <v>91</v>
      </c>
      <c r="AP38" s="61"/>
      <c r="AQ38" s="54" t="s">
        <v>100</v>
      </c>
      <c r="AR38" s="69"/>
      <c r="AS38" s="69"/>
      <c r="AT38" s="61"/>
      <c r="AU38" s="54" t="s">
        <v>100</v>
      </c>
      <c r="AV38" s="69"/>
      <c r="AW38" s="69"/>
      <c r="AX38" s="69"/>
      <c r="AY38" s="69"/>
      <c r="AZ38" s="69"/>
      <c r="BA38" s="69"/>
      <c r="BB38" s="69"/>
      <c r="BC38" s="61"/>
    </row>
    <row r="39" spans="1:55" hidden="1" x14ac:dyDescent="0.3">
      <c r="U39" s="1"/>
      <c r="AB39" s="19" t="s">
        <v>109</v>
      </c>
      <c r="AH39" s="20"/>
      <c r="AN39" s="20"/>
      <c r="AO39" s="54" t="s">
        <v>91</v>
      </c>
      <c r="AP39" s="61"/>
      <c r="AQ39" s="54" t="s">
        <v>100</v>
      </c>
      <c r="AR39" s="69"/>
      <c r="AS39" s="69"/>
      <c r="AT39" s="61"/>
      <c r="AU39" s="54" t="s">
        <v>100</v>
      </c>
      <c r="AV39" s="69"/>
      <c r="AW39" s="69"/>
      <c r="AX39" s="69"/>
      <c r="AY39" s="69"/>
      <c r="AZ39" s="69"/>
      <c r="BA39" s="69"/>
      <c r="BB39" s="69"/>
      <c r="BC39" s="61"/>
    </row>
    <row r="40" spans="1:55" hidden="1" x14ac:dyDescent="0.3">
      <c r="U40" s="1"/>
      <c r="AB40" s="19" t="s">
        <v>95</v>
      </c>
      <c r="AH40" s="20"/>
      <c r="AN40" s="20"/>
      <c r="AO40" s="54" t="s">
        <v>91</v>
      </c>
      <c r="AP40" s="61"/>
      <c r="AQ40" s="54" t="s">
        <v>100</v>
      </c>
      <c r="AR40" s="69"/>
      <c r="AS40" s="69"/>
      <c r="AT40" s="61"/>
      <c r="AU40" s="54" t="s">
        <v>100</v>
      </c>
      <c r="AV40" s="69"/>
      <c r="AW40" s="69"/>
      <c r="AX40" s="69"/>
      <c r="AY40" s="69"/>
      <c r="AZ40" s="69"/>
      <c r="BA40" s="69"/>
      <c r="BB40" s="69"/>
      <c r="BC40" s="61"/>
    </row>
    <row r="41" spans="1:55" hidden="1" x14ac:dyDescent="0.3">
      <c r="U41" s="1"/>
      <c r="AB41" s="19" t="s">
        <v>96</v>
      </c>
      <c r="AH41" s="20"/>
      <c r="AN41" s="20"/>
      <c r="AO41" s="54" t="s">
        <v>91</v>
      </c>
      <c r="AP41" s="61"/>
      <c r="AQ41" s="54" t="s">
        <v>91</v>
      </c>
      <c r="AR41" s="69"/>
      <c r="AS41" s="69"/>
      <c r="AT41" s="61"/>
      <c r="AU41" s="54" t="s">
        <v>100</v>
      </c>
      <c r="AV41" s="69"/>
      <c r="AW41" s="69"/>
      <c r="AX41" s="69"/>
      <c r="AY41" s="69"/>
      <c r="AZ41" s="69"/>
      <c r="BA41" s="69"/>
      <c r="BB41" s="69"/>
      <c r="BC41" s="61"/>
    </row>
    <row r="42" spans="1:55" hidden="1" x14ac:dyDescent="0.3">
      <c r="U42" s="1"/>
      <c r="AB42" s="19" t="s">
        <v>99</v>
      </c>
      <c r="AH42" s="20"/>
      <c r="AN42" s="20"/>
      <c r="AO42" s="54" t="s">
        <v>91</v>
      </c>
      <c r="AP42" s="61"/>
      <c r="AQ42" s="54" t="s">
        <v>91</v>
      </c>
      <c r="AR42" s="69"/>
      <c r="AS42" s="69"/>
      <c r="AT42" s="61"/>
      <c r="AU42" s="54" t="s">
        <v>100</v>
      </c>
      <c r="AV42" s="69"/>
      <c r="AW42" s="69"/>
      <c r="AX42" s="69"/>
      <c r="AY42" s="69"/>
      <c r="AZ42" s="69"/>
      <c r="BA42" s="69"/>
      <c r="BB42" s="69"/>
      <c r="BC42" s="61"/>
    </row>
    <row r="43" spans="1:55" hidden="1" x14ac:dyDescent="0.3">
      <c r="U43" s="1"/>
      <c r="AB43" s="19" t="s">
        <v>97</v>
      </c>
      <c r="AH43" s="20"/>
      <c r="AN43" s="20"/>
      <c r="AO43" s="54" t="s">
        <v>91</v>
      </c>
      <c r="AP43" s="61"/>
      <c r="AQ43" s="54" t="s">
        <v>91</v>
      </c>
      <c r="AR43" s="69"/>
      <c r="AS43" s="69"/>
      <c r="AT43" s="61"/>
      <c r="AU43" s="54" t="s">
        <v>100</v>
      </c>
      <c r="AV43" s="69"/>
      <c r="AW43" s="69"/>
      <c r="AX43" s="69"/>
      <c r="AY43" s="69"/>
      <c r="AZ43" s="69"/>
      <c r="BA43" s="69"/>
      <c r="BB43" s="69"/>
      <c r="BC43" s="61"/>
    </row>
    <row r="44" spans="1:55" x14ac:dyDescent="0.3">
      <c r="U44" s="3"/>
      <c r="V44" s="40"/>
      <c r="W44" s="40"/>
      <c r="X44" s="40"/>
      <c r="Y44" s="40"/>
      <c r="Z44" s="40"/>
      <c r="AA44" s="40"/>
      <c r="AB44" s="46"/>
      <c r="AC44" s="40"/>
      <c r="AD44" s="40"/>
      <c r="AE44" s="40"/>
      <c r="AF44" s="40"/>
      <c r="AG44" s="40"/>
      <c r="AH44" s="47"/>
      <c r="AI44" s="40"/>
      <c r="AJ44" s="40"/>
      <c r="AK44" s="40"/>
      <c r="AL44" s="40"/>
      <c r="AM44" s="40"/>
      <c r="AN44" s="47"/>
      <c r="AO44" s="64"/>
      <c r="AP44" s="65"/>
      <c r="AQ44" s="64"/>
      <c r="AR44" s="66"/>
      <c r="AS44" s="66"/>
      <c r="AT44" s="65"/>
      <c r="AU44" s="64"/>
      <c r="AV44" s="66"/>
      <c r="AW44" s="66"/>
      <c r="AX44" s="66"/>
      <c r="AY44" s="66"/>
      <c r="AZ44" s="66"/>
      <c r="BA44" s="66"/>
      <c r="BB44" s="66"/>
      <c r="BC44" s="65"/>
    </row>
    <row r="45" spans="1:55" ht="15" thickBot="1" x14ac:dyDescent="0.35">
      <c r="A45" s="679"/>
      <c r="B45" s="602"/>
      <c r="C45" s="602"/>
      <c r="D45" s="602"/>
      <c r="E45" s="70"/>
      <c r="F45" s="70"/>
      <c r="G45" s="70"/>
      <c r="H45" s="602"/>
      <c r="I45" s="602"/>
      <c r="J45" s="602"/>
      <c r="K45" s="602"/>
      <c r="L45" s="602"/>
      <c r="M45" s="602"/>
      <c r="N45" s="602"/>
      <c r="O45" s="602"/>
      <c r="P45" s="602"/>
      <c r="Q45" s="602"/>
      <c r="R45" s="602"/>
      <c r="S45" s="70"/>
      <c r="T45" s="71"/>
      <c r="U45" s="72"/>
      <c r="V45" s="72"/>
      <c r="W45" s="72"/>
      <c r="X45" s="72"/>
      <c r="Y45" s="72"/>
      <c r="Z45" s="72"/>
      <c r="AA45" s="72"/>
      <c r="AB45" s="77"/>
      <c r="AC45" s="72"/>
      <c r="AD45" s="72"/>
      <c r="AE45" s="72"/>
      <c r="AF45" s="72"/>
      <c r="AG45" s="72"/>
      <c r="AH45" s="95"/>
      <c r="AI45" s="96"/>
      <c r="AJ45" s="96"/>
      <c r="AK45" s="96"/>
      <c r="AL45" s="96"/>
      <c r="AM45" s="96"/>
      <c r="AN45" s="82"/>
      <c r="AO45" s="73"/>
      <c r="AP45" s="74"/>
      <c r="AQ45" s="73"/>
      <c r="AR45" s="75"/>
      <c r="AS45" s="75"/>
      <c r="AT45" s="74"/>
      <c r="AU45" s="73"/>
      <c r="AV45" s="75"/>
      <c r="AW45" s="75"/>
      <c r="AX45" s="75"/>
      <c r="AY45" s="75"/>
      <c r="AZ45" s="75"/>
      <c r="BA45" s="75"/>
      <c r="BB45" s="75"/>
      <c r="BC45" s="74"/>
    </row>
    <row r="46" spans="1:55" ht="15" customHeight="1" thickBot="1" x14ac:dyDescent="0.4">
      <c r="A46" s="680" t="s">
        <v>44</v>
      </c>
      <c r="B46" s="17" t="s">
        <v>45</v>
      </c>
      <c r="C46" s="17"/>
      <c r="D46" s="17"/>
      <c r="E46" s="25"/>
      <c r="F46" s="25"/>
      <c r="G46" s="25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41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8"/>
      <c r="AP46" s="20"/>
      <c r="AQ46" s="41"/>
      <c r="AR46" s="17"/>
      <c r="AS46" s="17"/>
      <c r="AT46" s="18"/>
      <c r="AU46" s="41"/>
      <c r="AV46" s="17"/>
      <c r="AW46" s="17"/>
      <c r="AX46" s="17"/>
      <c r="AY46" s="17"/>
      <c r="AZ46" s="17"/>
      <c r="BA46" s="17"/>
      <c r="BB46" s="17"/>
      <c r="BC46" s="18"/>
    </row>
    <row r="47" spans="1:55" ht="15" customHeight="1" thickBot="1" x14ac:dyDescent="0.4">
      <c r="A47" s="681"/>
      <c r="AB47" s="19"/>
      <c r="AH47" s="20"/>
      <c r="AO47" s="742" t="s">
        <v>0</v>
      </c>
      <c r="AP47" s="764"/>
      <c r="AQ47" s="743" t="s">
        <v>1</v>
      </c>
      <c r="AR47" s="743"/>
      <c r="AS47" s="743"/>
      <c r="AT47" s="764"/>
      <c r="AU47" s="747" t="s">
        <v>1</v>
      </c>
      <c r="AV47" s="763"/>
      <c r="AW47" s="763"/>
      <c r="AX47" s="763"/>
      <c r="AY47" s="763"/>
      <c r="AZ47" s="763"/>
      <c r="BA47" s="763"/>
      <c r="BB47" s="763"/>
      <c r="BC47" s="748"/>
    </row>
    <row r="48" spans="1:55" ht="15" customHeight="1" x14ac:dyDescent="0.3">
      <c r="A48" s="19"/>
      <c r="T48" s="518"/>
      <c r="U48" s="170"/>
      <c r="V48" s="170"/>
      <c r="W48" s="170"/>
      <c r="X48" s="170"/>
      <c r="Y48" s="170"/>
      <c r="Z48" s="170"/>
      <c r="AA48" s="171"/>
      <c r="AB48" s="170" t="s">
        <v>20</v>
      </c>
      <c r="AC48" s="170"/>
      <c r="AD48" s="170"/>
      <c r="AE48" s="170"/>
      <c r="AF48" s="170"/>
      <c r="AG48" s="170"/>
      <c r="AH48" s="171"/>
      <c r="AI48" s="749" t="s">
        <v>21</v>
      </c>
      <c r="AJ48" s="745"/>
      <c r="AK48" s="745"/>
      <c r="AL48" s="745"/>
      <c r="AM48" s="746"/>
      <c r="AN48" s="531" t="s">
        <v>33</v>
      </c>
      <c r="AO48" s="495" t="s">
        <v>48</v>
      </c>
      <c r="AP48" s="531" t="s">
        <v>49</v>
      </c>
      <c r="AQ48" s="745"/>
      <c r="AR48" s="745"/>
      <c r="AS48" s="745"/>
      <c r="AT48" s="745"/>
      <c r="AU48" s="749" t="s">
        <v>602</v>
      </c>
      <c r="AV48" s="745"/>
      <c r="AW48" s="745"/>
      <c r="AX48" s="746"/>
      <c r="AY48" s="744" t="s">
        <v>16</v>
      </c>
      <c r="AZ48" s="746"/>
      <c r="BA48" s="744" t="s">
        <v>17</v>
      </c>
      <c r="BB48" s="746"/>
      <c r="BC48" s="171" t="s">
        <v>561</v>
      </c>
    </row>
    <row r="49" spans="1:55" ht="14.25" customHeight="1" x14ac:dyDescent="0.35">
      <c r="A49" s="19"/>
      <c r="B49" s="21"/>
      <c r="C49" s="21"/>
      <c r="D49" s="21"/>
      <c r="E49" s="31"/>
      <c r="F49" s="31"/>
      <c r="G49" s="31"/>
      <c r="H49" s="21"/>
      <c r="I49" s="21"/>
      <c r="J49" s="21"/>
      <c r="K49" s="21"/>
      <c r="L49" s="21"/>
      <c r="M49" s="21"/>
      <c r="S49" s="247"/>
      <c r="T49" s="519"/>
      <c r="U49" s="15"/>
      <c r="V49" s="15"/>
      <c r="W49" s="15"/>
      <c r="X49" s="15"/>
      <c r="Y49" s="15"/>
      <c r="Z49" s="15"/>
      <c r="AA49" s="44"/>
      <c r="AB49" s="14" t="s">
        <v>615</v>
      </c>
      <c r="AC49" s="175" t="s">
        <v>235</v>
      </c>
      <c r="AD49" s="69" t="s">
        <v>617</v>
      </c>
      <c r="AE49" s="175" t="s">
        <v>226</v>
      </c>
      <c r="AF49" s="69" t="s">
        <v>618</v>
      </c>
      <c r="AG49" s="15"/>
      <c r="AH49" s="44"/>
      <c r="AI49" s="750" t="s">
        <v>22</v>
      </c>
      <c r="AJ49" s="728"/>
      <c r="AK49" s="728"/>
      <c r="AL49" s="728"/>
      <c r="AM49" s="729"/>
      <c r="AN49" s="49"/>
      <c r="AO49" s="43"/>
      <c r="AP49" s="49"/>
      <c r="AQ49" s="728"/>
      <c r="AR49" s="728"/>
      <c r="AS49" s="728"/>
      <c r="AT49" s="728"/>
      <c r="AU49" s="750"/>
      <c r="AV49" s="728"/>
      <c r="AW49" s="728"/>
      <c r="AX49" s="729"/>
      <c r="AY49" s="727"/>
      <c r="AZ49" s="729"/>
      <c r="BA49" s="727"/>
      <c r="BB49" s="729"/>
      <c r="BC49" s="782"/>
    </row>
    <row r="50" spans="1:55" ht="14.25" customHeight="1" thickBot="1" x14ac:dyDescent="0.35">
      <c r="A50" s="19"/>
      <c r="B50" s="21"/>
      <c r="C50" s="21"/>
      <c r="D50" s="21"/>
      <c r="E50" s="31"/>
      <c r="F50" s="31"/>
      <c r="G50" s="31"/>
      <c r="H50" s="21"/>
      <c r="I50" s="21"/>
      <c r="J50" s="21"/>
      <c r="K50" s="21"/>
      <c r="L50" s="21"/>
      <c r="M50" s="21"/>
      <c r="S50" s="247"/>
      <c r="T50" s="519"/>
      <c r="U50" s="50"/>
      <c r="V50" s="50"/>
      <c r="W50" s="50"/>
      <c r="X50" s="50"/>
      <c r="Y50" s="50"/>
      <c r="Z50" s="50"/>
      <c r="AA50" s="167"/>
      <c r="AB50" s="50"/>
      <c r="AC50" s="50"/>
      <c r="AD50" s="50"/>
      <c r="AE50" s="50"/>
      <c r="AF50" s="50"/>
      <c r="AG50" s="50"/>
      <c r="AH50" s="167"/>
      <c r="AI50" s="789" t="s">
        <v>24</v>
      </c>
      <c r="AJ50" s="737"/>
      <c r="AK50" s="737"/>
      <c r="AL50" s="737"/>
      <c r="AM50" s="738"/>
      <c r="AN50" s="167"/>
      <c r="AO50" s="530"/>
      <c r="AP50" s="532"/>
      <c r="AQ50" s="737"/>
      <c r="AR50" s="737"/>
      <c r="AS50" s="737"/>
      <c r="AT50" s="737"/>
      <c r="AU50" s="789"/>
      <c r="AV50" s="737"/>
      <c r="AW50" s="737"/>
      <c r="AX50" s="738"/>
      <c r="AY50" s="736"/>
      <c r="AZ50" s="738"/>
      <c r="BA50" s="736"/>
      <c r="BB50" s="738"/>
      <c r="BC50" s="816"/>
    </row>
    <row r="51" spans="1:55" ht="15" thickBot="1" x14ac:dyDescent="0.35">
      <c r="A51" s="19"/>
      <c r="B51" s="21"/>
      <c r="C51" s="21"/>
      <c r="D51" s="21"/>
      <c r="E51" s="32"/>
      <c r="F51" s="32"/>
      <c r="G51" s="32"/>
      <c r="H51" s="34"/>
      <c r="I51" s="34"/>
      <c r="J51" s="34"/>
      <c r="K51" s="34"/>
      <c r="L51" s="21"/>
      <c r="M51" s="21"/>
      <c r="S51" s="247"/>
      <c r="T51" s="603"/>
      <c r="U51" s="846"/>
      <c r="V51" s="846"/>
      <c r="W51" s="846"/>
      <c r="X51" s="846"/>
      <c r="Y51" s="846"/>
      <c r="Z51" s="846"/>
      <c r="AA51" s="846"/>
      <c r="AB51" s="846"/>
      <c r="AC51" s="846"/>
      <c r="AD51" s="846"/>
      <c r="AE51" s="846"/>
      <c r="AF51" s="846"/>
      <c r="AG51" s="846"/>
      <c r="AH51" s="846"/>
      <c r="AI51" s="846"/>
      <c r="AJ51" s="846"/>
      <c r="AK51" s="846"/>
      <c r="AL51" s="846"/>
      <c r="AM51" s="846"/>
      <c r="AN51" s="846"/>
      <c r="AO51" s="846"/>
      <c r="AP51" s="846"/>
      <c r="AQ51" s="846"/>
      <c r="AR51" s="846"/>
      <c r="AS51" s="846"/>
      <c r="AT51" s="846"/>
      <c r="AU51" s="846"/>
      <c r="AV51" s="846"/>
      <c r="AW51" s="846"/>
      <c r="AX51" s="846"/>
      <c r="AY51" s="846"/>
      <c r="AZ51" s="846"/>
      <c r="BA51" s="846"/>
      <c r="BB51" s="846"/>
      <c r="BC51" s="847"/>
    </row>
    <row r="52" spans="1:55" ht="18" customHeight="1" x14ac:dyDescent="0.3">
      <c r="A52" s="19"/>
      <c r="B52" s="21"/>
      <c r="C52" s="21"/>
      <c r="D52" s="21"/>
      <c r="E52" s="32"/>
      <c r="F52" s="32"/>
      <c r="G52" s="32"/>
      <c r="H52" s="34"/>
      <c r="I52" s="34"/>
      <c r="J52" s="34"/>
      <c r="K52" s="34"/>
      <c r="L52" s="21"/>
      <c r="M52" s="21"/>
      <c r="S52" s="247"/>
      <c r="T52" s="519"/>
      <c r="U52" s="170"/>
      <c r="V52" s="170"/>
      <c r="W52" s="170"/>
      <c r="X52" s="170"/>
      <c r="Y52" s="170"/>
      <c r="Z52" s="170"/>
      <c r="AA52" s="171"/>
      <c r="AB52" s="15" t="s">
        <v>23</v>
      </c>
      <c r="AC52" s="15"/>
      <c r="AD52" s="15"/>
      <c r="AE52" s="15"/>
      <c r="AF52" s="15"/>
      <c r="AG52" s="15"/>
      <c r="AH52" s="44"/>
      <c r="AI52" s="728" t="s">
        <v>21</v>
      </c>
      <c r="AJ52" s="728"/>
      <c r="AK52" s="728"/>
      <c r="AL52" s="728"/>
      <c r="AM52" s="729"/>
      <c r="AN52" s="13" t="s">
        <v>33</v>
      </c>
      <c r="AO52" s="43" t="s">
        <v>48</v>
      </c>
      <c r="AP52" s="44" t="s">
        <v>49</v>
      </c>
      <c r="AQ52" s="745"/>
      <c r="AR52" s="745"/>
      <c r="AS52" s="745"/>
      <c r="AT52" s="745"/>
      <c r="AU52" s="749" t="s">
        <v>602</v>
      </c>
      <c r="AV52" s="745"/>
      <c r="AW52" s="745"/>
      <c r="AX52" s="746"/>
      <c r="AY52" s="744" t="s">
        <v>16</v>
      </c>
      <c r="AZ52" s="746"/>
      <c r="BA52" s="744" t="s">
        <v>17</v>
      </c>
      <c r="BB52" s="746"/>
      <c r="BC52" s="171" t="s">
        <v>561</v>
      </c>
    </row>
    <row r="53" spans="1:55" ht="16.2" thickBot="1" x14ac:dyDescent="0.4">
      <c r="A53" s="19"/>
      <c r="B53" s="21"/>
      <c r="C53" s="21"/>
      <c r="D53" s="21"/>
      <c r="E53" s="32"/>
      <c r="F53" s="32"/>
      <c r="G53" s="32"/>
      <c r="H53" s="34"/>
      <c r="I53" s="34"/>
      <c r="J53" s="34"/>
      <c r="K53" s="34"/>
      <c r="L53" s="21"/>
      <c r="M53" s="21"/>
      <c r="T53" s="845" t="s">
        <v>163</v>
      </c>
      <c r="U53" s="15"/>
      <c r="V53" s="15"/>
      <c r="W53" s="15"/>
      <c r="X53" s="15"/>
      <c r="Y53" s="15"/>
      <c r="Z53" s="15"/>
      <c r="AA53" s="44"/>
      <c r="AB53" s="14" t="s">
        <v>615</v>
      </c>
      <c r="AC53" s="175" t="s">
        <v>235</v>
      </c>
      <c r="AD53" s="69" t="s">
        <v>617</v>
      </c>
      <c r="AE53" s="175" t="s">
        <v>226</v>
      </c>
      <c r="AF53" s="69" t="s">
        <v>618</v>
      </c>
      <c r="AG53" s="15"/>
      <c r="AH53" s="44"/>
      <c r="AI53" s="728" t="s">
        <v>22</v>
      </c>
      <c r="AJ53" s="728"/>
      <c r="AK53" s="728"/>
      <c r="AL53" s="728"/>
      <c r="AM53" s="729"/>
      <c r="AN53" s="13"/>
      <c r="AO53" s="43"/>
      <c r="AP53" s="44"/>
      <c r="AQ53" s="728"/>
      <c r="AR53" s="728"/>
      <c r="AS53" s="728"/>
      <c r="AT53" s="728"/>
      <c r="AU53" s="750">
        <v>1998</v>
      </c>
      <c r="AV53" s="728"/>
      <c r="AW53" s="728"/>
      <c r="AX53" s="729"/>
      <c r="AY53" s="727" t="s">
        <v>603</v>
      </c>
      <c r="AZ53" s="729"/>
      <c r="BA53" s="727" t="s">
        <v>604</v>
      </c>
      <c r="BB53" s="729"/>
      <c r="BC53" s="820" t="s">
        <v>170</v>
      </c>
    </row>
    <row r="54" spans="1:55" ht="18.75" customHeight="1" thickBot="1" x14ac:dyDescent="0.35">
      <c r="A54" s="19"/>
      <c r="B54" s="854" t="s">
        <v>64</v>
      </c>
      <c r="C54" s="855"/>
      <c r="D54" s="856"/>
      <c r="E54" s="32"/>
      <c r="F54" s="32"/>
      <c r="G54" s="32"/>
      <c r="H54" s="34"/>
      <c r="I54" s="34"/>
      <c r="J54" s="34"/>
      <c r="K54" s="34"/>
      <c r="L54" s="21"/>
      <c r="M54" s="21"/>
      <c r="T54" s="845"/>
      <c r="U54" s="15"/>
      <c r="V54" s="15"/>
      <c r="W54" s="15"/>
      <c r="X54" s="15"/>
      <c r="Y54" s="15"/>
      <c r="Z54" s="15"/>
      <c r="AA54" s="15"/>
      <c r="AB54" s="604">
        <f>AD54*AF54</f>
        <v>1.13741</v>
      </c>
      <c r="AC54" s="175" t="s">
        <v>235</v>
      </c>
      <c r="AD54" s="14">
        <f>AY54</f>
        <v>1.07</v>
      </c>
      <c r="AE54" s="175" t="s">
        <v>226</v>
      </c>
      <c r="AF54" s="14">
        <f>BA54</f>
        <v>1.0629999999999999</v>
      </c>
      <c r="AG54" s="15"/>
      <c r="AH54" s="44"/>
      <c r="AI54" s="728" t="s">
        <v>24</v>
      </c>
      <c r="AJ54" s="728"/>
      <c r="AK54" s="728"/>
      <c r="AL54" s="728"/>
      <c r="AM54" s="729"/>
      <c r="AN54" s="13"/>
      <c r="AO54" s="43"/>
      <c r="AP54" s="44"/>
      <c r="AQ54" s="728"/>
      <c r="AR54" s="728"/>
      <c r="AS54" s="728"/>
      <c r="AT54" s="728"/>
      <c r="AU54" s="750"/>
      <c r="AV54" s="728"/>
      <c r="AW54" s="728"/>
      <c r="AX54" s="729"/>
      <c r="AY54" s="727">
        <f>'Kat. 2 Heizung'!F14</f>
        <v>1.07</v>
      </c>
      <c r="AZ54" s="729"/>
      <c r="BA54" s="727">
        <f>'Kat. 2 Heizung'!L13</f>
        <v>1.0629999999999999</v>
      </c>
      <c r="BB54" s="729"/>
      <c r="BC54" s="782"/>
    </row>
    <row r="55" spans="1:55" ht="20.25" customHeight="1" thickBot="1" x14ac:dyDescent="0.35">
      <c r="A55" s="19"/>
      <c r="B55" s="664" t="s">
        <v>686</v>
      </c>
      <c r="C55" s="665">
        <f>M59</f>
        <v>56134</v>
      </c>
      <c r="D55" s="666" t="s">
        <v>51</v>
      </c>
      <c r="E55" s="31"/>
      <c r="F55" s="31"/>
      <c r="G55" s="31"/>
      <c r="H55" s="21"/>
      <c r="I55" s="21"/>
      <c r="J55" s="21"/>
      <c r="K55" s="21"/>
      <c r="L55" s="21"/>
      <c r="T55" s="375" t="s">
        <v>616</v>
      </c>
      <c r="U55" s="846"/>
      <c r="V55" s="846"/>
      <c r="W55" s="846"/>
      <c r="X55" s="846"/>
      <c r="Y55" s="846"/>
      <c r="Z55" s="846"/>
      <c r="AA55" s="846"/>
      <c r="AB55" s="846"/>
      <c r="AC55" s="846"/>
      <c r="AD55" s="846"/>
      <c r="AE55" s="846"/>
      <c r="AF55" s="846"/>
      <c r="AG55" s="846"/>
      <c r="AH55" s="846"/>
      <c r="AI55" s="846"/>
      <c r="AJ55" s="846"/>
      <c r="AK55" s="846"/>
      <c r="AL55" s="846"/>
      <c r="AM55" s="846"/>
      <c r="AN55" s="846"/>
      <c r="AO55" s="846"/>
      <c r="AP55" s="846"/>
      <c r="AQ55" s="846"/>
      <c r="AR55" s="846"/>
      <c r="AS55" s="846"/>
      <c r="AT55" s="846"/>
      <c r="AU55" s="846"/>
      <c r="AV55" s="846"/>
      <c r="AW55" s="846"/>
      <c r="AX55" s="846"/>
      <c r="AY55" s="846"/>
      <c r="AZ55" s="846"/>
      <c r="BA55" s="846"/>
      <c r="BB55" s="846"/>
      <c r="BC55" s="847"/>
    </row>
    <row r="56" spans="1:55" ht="18" customHeight="1" thickBot="1" x14ac:dyDescent="0.35">
      <c r="A56" s="19"/>
      <c r="B56" s="656" t="s">
        <v>687</v>
      </c>
      <c r="C56" s="657">
        <f>M63</f>
        <v>386.20000000000005</v>
      </c>
      <c r="D56" s="658" t="s">
        <v>636</v>
      </c>
      <c r="E56" s="31"/>
      <c r="F56" s="31"/>
      <c r="G56" s="31"/>
      <c r="H56" s="21"/>
      <c r="I56" s="21"/>
      <c r="J56" s="21"/>
      <c r="K56" s="21"/>
      <c r="T56" s="621">
        <f>AB54</f>
        <v>1.13741</v>
      </c>
      <c r="U56" s="170"/>
      <c r="V56" s="170"/>
      <c r="W56" s="170"/>
      <c r="X56" s="170"/>
      <c r="Y56" s="170"/>
      <c r="Z56" s="170"/>
      <c r="AA56" s="171"/>
      <c r="AB56" s="100" t="s">
        <v>25</v>
      </c>
      <c r="AC56" s="170"/>
      <c r="AD56" s="170"/>
      <c r="AE56" s="170"/>
      <c r="AF56" s="170"/>
      <c r="AG56" s="170"/>
      <c r="AH56" s="171"/>
      <c r="AI56" s="848" t="s">
        <v>26</v>
      </c>
      <c r="AJ56" s="849"/>
      <c r="AK56" s="850"/>
      <c r="AL56" s="850"/>
      <c r="AM56" s="850"/>
      <c r="AN56" s="531" t="s">
        <v>33</v>
      </c>
      <c r="AO56" s="12" t="s">
        <v>48</v>
      </c>
      <c r="AP56" s="44" t="s">
        <v>49</v>
      </c>
      <c r="AQ56" s="728"/>
      <c r="AR56" s="728"/>
      <c r="AS56" s="728"/>
      <c r="AT56" s="728"/>
      <c r="AU56" s="749" t="s">
        <v>602</v>
      </c>
      <c r="AV56" s="745"/>
      <c r="AW56" s="745"/>
      <c r="AX56" s="745"/>
      <c r="AY56" s="744" t="s">
        <v>16</v>
      </c>
      <c r="AZ56" s="746"/>
      <c r="BA56" s="744" t="s">
        <v>17</v>
      </c>
      <c r="BB56" s="746"/>
      <c r="BC56" s="531" t="s">
        <v>561</v>
      </c>
    </row>
    <row r="57" spans="1:55" ht="17.25" customHeight="1" thickBot="1" x14ac:dyDescent="0.4">
      <c r="A57" s="19"/>
      <c r="H57" s="749" t="s">
        <v>685</v>
      </c>
      <c r="I57" s="745"/>
      <c r="J57" s="745"/>
      <c r="K57" s="745"/>
      <c r="L57" s="745"/>
      <c r="M57" s="749" t="s">
        <v>684</v>
      </c>
      <c r="N57" s="745"/>
      <c r="O57" s="745"/>
      <c r="P57" s="745"/>
      <c r="Q57" s="745"/>
      <c r="R57" s="745"/>
      <c r="S57" s="799"/>
      <c r="T57" s="44"/>
      <c r="U57" s="15"/>
      <c r="V57" s="15"/>
      <c r="W57" s="15"/>
      <c r="X57" s="15"/>
      <c r="Y57" s="15"/>
      <c r="Z57" s="15"/>
      <c r="AA57" s="44"/>
      <c r="AB57" s="14" t="s">
        <v>615</v>
      </c>
      <c r="AC57" s="175" t="s">
        <v>235</v>
      </c>
      <c r="AD57" s="69" t="s">
        <v>617</v>
      </c>
      <c r="AE57" s="175" t="s">
        <v>226</v>
      </c>
      <c r="AF57" s="69" t="s">
        <v>618</v>
      </c>
      <c r="AG57" s="15"/>
      <c r="AH57" s="44"/>
      <c r="AI57" s="851" t="s">
        <v>27</v>
      </c>
      <c r="AJ57" s="774"/>
      <c r="AK57" s="775"/>
      <c r="AL57" s="775"/>
      <c r="AM57" s="775"/>
      <c r="AN57" s="44"/>
      <c r="AO57" s="12"/>
      <c r="AP57" s="44"/>
      <c r="AQ57" s="728"/>
      <c r="AR57" s="728"/>
      <c r="AS57" s="728"/>
      <c r="AT57" s="728"/>
      <c r="AU57" s="750"/>
      <c r="AV57" s="728"/>
      <c r="AW57" s="728"/>
      <c r="AX57" s="728"/>
      <c r="AY57" s="727"/>
      <c r="AZ57" s="729"/>
      <c r="BA57" s="727"/>
      <c r="BB57" s="729"/>
      <c r="BC57" s="49"/>
    </row>
    <row r="58" spans="1:55" ht="29.4" thickBot="1" x14ac:dyDescent="0.4">
      <c r="A58" s="19"/>
      <c r="B58" s="854" t="s">
        <v>65</v>
      </c>
      <c r="C58" s="855"/>
      <c r="D58" s="856"/>
      <c r="E58" s="32"/>
      <c r="F58" s="32"/>
      <c r="G58" s="32"/>
      <c r="H58" s="91" t="s">
        <v>634</v>
      </c>
      <c r="I58" s="175" t="s">
        <v>235</v>
      </c>
      <c r="J58" s="34" t="s">
        <v>642</v>
      </c>
      <c r="K58" s="175" t="s">
        <v>226</v>
      </c>
      <c r="L58" s="34" t="s">
        <v>633</v>
      </c>
      <c r="M58" s="91" t="s">
        <v>642</v>
      </c>
      <c r="N58" s="198" t="s">
        <v>235</v>
      </c>
      <c r="O58" s="69" t="s">
        <v>619</v>
      </c>
      <c r="P58" s="609" t="s">
        <v>226</v>
      </c>
      <c r="Q58" s="69" t="s">
        <v>620</v>
      </c>
      <c r="R58" s="609" t="s">
        <v>233</v>
      </c>
      <c r="S58" s="61" t="s">
        <v>622</v>
      </c>
      <c r="T58" s="44"/>
      <c r="U58" s="50"/>
      <c r="V58" s="50"/>
      <c r="W58" s="50"/>
      <c r="X58" s="50"/>
      <c r="Y58" s="50"/>
      <c r="Z58" s="50"/>
      <c r="AA58" s="167"/>
      <c r="AB58" s="591"/>
      <c r="AC58" s="50"/>
      <c r="AD58" s="50"/>
      <c r="AE58" s="50"/>
      <c r="AF58" s="50"/>
      <c r="AG58" s="50"/>
      <c r="AH58" s="167"/>
      <c r="AI58" s="789"/>
      <c r="AJ58" s="737"/>
      <c r="AK58" s="737"/>
      <c r="AL58" s="737"/>
      <c r="AM58" s="738"/>
      <c r="AN58" s="167"/>
      <c r="AO58" s="530"/>
      <c r="AP58" s="15"/>
      <c r="AQ58" s="14"/>
      <c r="AR58" s="14"/>
      <c r="AS58" s="14"/>
      <c r="AT58" s="14"/>
      <c r="AU58" s="217"/>
      <c r="AV58" s="134"/>
      <c r="AW58" s="134"/>
      <c r="AX58" s="134"/>
      <c r="AY58" s="133"/>
      <c r="AZ58" s="372"/>
      <c r="BA58" s="133"/>
      <c r="BB58" s="372"/>
      <c r="BC58" s="532"/>
    </row>
    <row r="59" spans="1:55" ht="17.25" customHeight="1" thickBot="1" x14ac:dyDescent="0.35">
      <c r="A59" s="19"/>
      <c r="B59" s="664" t="s">
        <v>638</v>
      </c>
      <c r="C59" s="667">
        <f>H59</f>
        <v>61748</v>
      </c>
      <c r="D59" s="666" t="s">
        <v>51</v>
      </c>
      <c r="H59" s="56">
        <f>ROUNDUP(J59*L59,0)</f>
        <v>61748</v>
      </c>
      <c r="I59" s="198" t="s">
        <v>235</v>
      </c>
      <c r="J59" s="624">
        <f>M59</f>
        <v>56134</v>
      </c>
      <c r="K59" s="175" t="s">
        <v>226</v>
      </c>
      <c r="L59" s="34">
        <v>1.1000000000000001</v>
      </c>
      <c r="M59" s="612">
        <f>ROUNDUP(O59*Q59+S59,0)</f>
        <v>56134</v>
      </c>
      <c r="N59" s="198" t="s">
        <v>235</v>
      </c>
      <c r="O59" s="389">
        <f>T71</f>
        <v>48063</v>
      </c>
      <c r="P59" s="609" t="s">
        <v>226</v>
      </c>
      <c r="Q59" s="610">
        <f>T56</f>
        <v>1.13741</v>
      </c>
      <c r="R59" s="609" t="s">
        <v>233</v>
      </c>
      <c r="S59" s="94">
        <f>T67</f>
        <v>1466</v>
      </c>
      <c r="T59" s="166"/>
      <c r="U59" s="846"/>
      <c r="V59" s="846"/>
      <c r="W59" s="846"/>
      <c r="X59" s="846"/>
      <c r="Y59" s="846"/>
      <c r="Z59" s="846"/>
      <c r="AA59" s="846"/>
      <c r="AB59" s="846"/>
      <c r="AC59" s="846"/>
      <c r="AD59" s="846"/>
      <c r="AE59" s="846"/>
      <c r="AF59" s="846"/>
      <c r="AG59" s="846"/>
      <c r="AH59" s="846"/>
      <c r="AI59" s="846"/>
      <c r="AJ59" s="846"/>
      <c r="AK59" s="846"/>
      <c r="AL59" s="846"/>
      <c r="AM59" s="846"/>
      <c r="AN59" s="846"/>
      <c r="AO59" s="846"/>
      <c r="AP59" s="846"/>
      <c r="AQ59" s="846"/>
      <c r="AR59" s="846"/>
      <c r="AS59" s="846"/>
      <c r="AT59" s="846"/>
      <c r="AU59" s="846"/>
      <c r="AV59" s="846"/>
      <c r="AW59" s="846"/>
      <c r="AX59" s="846"/>
      <c r="AY59" s="846"/>
      <c r="AZ59" s="846"/>
      <c r="BA59" s="846"/>
      <c r="BB59" s="846"/>
      <c r="BC59" s="847"/>
    </row>
    <row r="60" spans="1:55" ht="18" customHeight="1" thickBot="1" x14ac:dyDescent="0.4">
      <c r="A60" s="19"/>
      <c r="B60" s="660" t="s">
        <v>637</v>
      </c>
      <c r="C60" s="661">
        <f>H63</f>
        <v>424.82000000000011</v>
      </c>
      <c r="D60" s="658" t="s">
        <v>63</v>
      </c>
      <c r="E60" s="32"/>
      <c r="F60" s="32"/>
      <c r="G60" s="32"/>
      <c r="H60" s="223"/>
      <c r="I60" s="38"/>
      <c r="J60" s="38"/>
      <c r="K60" s="38"/>
      <c r="L60" s="40"/>
      <c r="M60" s="46"/>
      <c r="N60" s="40"/>
      <c r="O60" s="40"/>
      <c r="P60" s="40"/>
      <c r="Q60" s="40"/>
      <c r="R60" s="40"/>
      <c r="S60" s="47"/>
      <c r="T60" s="44"/>
      <c r="U60" s="170"/>
      <c r="V60" s="170"/>
      <c r="W60" s="170"/>
      <c r="X60" s="170"/>
      <c r="Y60" s="170"/>
      <c r="Z60" s="170"/>
      <c r="AA60" s="171"/>
      <c r="AB60" s="15" t="s">
        <v>28</v>
      </c>
      <c r="AC60" s="15"/>
      <c r="AD60" s="15"/>
      <c r="AE60" s="15"/>
      <c r="AF60" s="15"/>
      <c r="AG60" s="15"/>
      <c r="AH60" s="44"/>
      <c r="AI60" s="852" t="s">
        <v>29</v>
      </c>
      <c r="AJ60" s="852"/>
      <c r="AK60" s="853"/>
      <c r="AL60" s="853"/>
      <c r="AM60" s="853"/>
      <c r="AN60" s="13" t="s">
        <v>33</v>
      </c>
      <c r="AO60" s="43" t="s">
        <v>48</v>
      </c>
      <c r="AP60" s="44" t="s">
        <v>49</v>
      </c>
      <c r="AQ60" s="745"/>
      <c r="AR60" s="745"/>
      <c r="AS60" s="745"/>
      <c r="AT60" s="745"/>
      <c r="AU60" s="749" t="s">
        <v>602</v>
      </c>
      <c r="AV60" s="745"/>
      <c r="AW60" s="745"/>
      <c r="AX60" s="746"/>
      <c r="AY60" s="744" t="s">
        <v>16</v>
      </c>
      <c r="AZ60" s="746"/>
      <c r="BA60" s="744" t="s">
        <v>17</v>
      </c>
      <c r="BB60" s="746"/>
      <c r="BC60" s="171" t="s">
        <v>561</v>
      </c>
    </row>
    <row r="61" spans="1:55" ht="15" customHeight="1" thickBot="1" x14ac:dyDescent="0.4">
      <c r="A61" s="19"/>
      <c r="B61" s="21"/>
      <c r="C61" s="21"/>
      <c r="D61" s="21"/>
      <c r="E61" s="32"/>
      <c r="F61" s="32"/>
      <c r="G61" s="32"/>
      <c r="H61" s="841" t="s">
        <v>683</v>
      </c>
      <c r="I61" s="818"/>
      <c r="J61" s="818"/>
      <c r="K61" s="818"/>
      <c r="L61" s="818"/>
      <c r="M61" s="730" t="s">
        <v>688</v>
      </c>
      <c r="N61" s="731"/>
      <c r="O61" s="731"/>
      <c r="P61" s="731"/>
      <c r="Q61" s="731"/>
      <c r="R61" s="731"/>
      <c r="S61" s="754"/>
      <c r="T61" s="44"/>
      <c r="U61" s="15"/>
      <c r="V61" s="15"/>
      <c r="W61" s="15"/>
      <c r="X61" s="15"/>
      <c r="Y61" s="15"/>
      <c r="Z61" s="15"/>
      <c r="AA61" s="44"/>
      <c r="AB61" s="14" t="s">
        <v>615</v>
      </c>
      <c r="AC61" s="175" t="s">
        <v>235</v>
      </c>
      <c r="AD61" s="69" t="s">
        <v>617</v>
      </c>
      <c r="AE61" s="175" t="s">
        <v>226</v>
      </c>
      <c r="AF61" s="69" t="s">
        <v>618</v>
      </c>
      <c r="AG61" s="15"/>
      <c r="AH61" s="44"/>
      <c r="AI61" s="772" t="s">
        <v>30</v>
      </c>
      <c r="AJ61" s="772"/>
      <c r="AK61" s="773"/>
      <c r="AL61" s="773"/>
      <c r="AM61" s="773"/>
      <c r="AN61" s="13"/>
      <c r="AO61" s="43"/>
      <c r="AP61" s="44"/>
      <c r="AQ61" s="728"/>
      <c r="AR61" s="728"/>
      <c r="AS61" s="728"/>
      <c r="AT61" s="728"/>
      <c r="AU61" s="750"/>
      <c r="AV61" s="728"/>
      <c r="AW61" s="728"/>
      <c r="AX61" s="729"/>
      <c r="AY61" s="727"/>
      <c r="AZ61" s="729"/>
      <c r="BA61" s="727"/>
      <c r="BB61" s="729"/>
      <c r="BC61" s="782"/>
    </row>
    <row r="62" spans="1:55" ht="30.75" customHeight="1" x14ac:dyDescent="0.3">
      <c r="A62" s="19"/>
      <c r="B62" s="857" t="s">
        <v>639</v>
      </c>
      <c r="C62" s="858"/>
      <c r="D62" s="859"/>
      <c r="H62" s="91" t="s">
        <v>632</v>
      </c>
      <c r="I62" s="175" t="s">
        <v>235</v>
      </c>
      <c r="J62" s="34" t="s">
        <v>649</v>
      </c>
      <c r="K62" s="175" t="s">
        <v>226</v>
      </c>
      <c r="L62" s="34" t="s">
        <v>633</v>
      </c>
      <c r="M62" s="91" t="s">
        <v>649</v>
      </c>
      <c r="N62" s="69"/>
      <c r="O62" s="14" t="s">
        <v>642</v>
      </c>
      <c r="P62" s="198" t="s">
        <v>228</v>
      </c>
      <c r="Q62" s="14" t="s">
        <v>626</v>
      </c>
      <c r="R62" s="69"/>
      <c r="S62" s="94"/>
      <c r="T62" s="44"/>
      <c r="U62" s="15"/>
      <c r="V62" s="15"/>
      <c r="W62" s="15"/>
      <c r="X62" s="15"/>
      <c r="Y62" s="15"/>
      <c r="Z62" s="15"/>
      <c r="AA62" s="44"/>
      <c r="AB62" s="15"/>
      <c r="AC62" s="15"/>
      <c r="AD62" s="15"/>
      <c r="AE62" s="15"/>
      <c r="AF62" s="15"/>
      <c r="AG62" s="15"/>
      <c r="AH62" s="44"/>
      <c r="AI62" s="772" t="s">
        <v>31</v>
      </c>
      <c r="AJ62" s="772"/>
      <c r="AK62" s="773"/>
      <c r="AL62" s="773"/>
      <c r="AM62" s="773"/>
      <c r="AN62" s="13"/>
      <c r="AO62" s="43"/>
      <c r="AP62" s="44"/>
      <c r="AQ62" s="728"/>
      <c r="AR62" s="728"/>
      <c r="AS62" s="728"/>
      <c r="AT62" s="728"/>
      <c r="AU62" s="750"/>
      <c r="AV62" s="728"/>
      <c r="AW62" s="728"/>
      <c r="AX62" s="729"/>
      <c r="AY62" s="727"/>
      <c r="AZ62" s="729"/>
      <c r="BA62" s="727"/>
      <c r="BB62" s="729"/>
      <c r="BC62" s="782"/>
    </row>
    <row r="63" spans="1:55" ht="14.25" customHeight="1" thickBot="1" x14ac:dyDescent="0.35">
      <c r="A63" s="19"/>
      <c r="B63" s="690" t="s">
        <v>664</v>
      </c>
      <c r="C63" s="662">
        <f>Berechnungen!B106</f>
        <v>11.28</v>
      </c>
      <c r="D63" s="663" t="s">
        <v>640</v>
      </c>
      <c r="H63" s="56">
        <f>J63*L63</f>
        <v>424.82000000000011</v>
      </c>
      <c r="I63" s="175" t="s">
        <v>235</v>
      </c>
      <c r="J63" s="625">
        <f>M63</f>
        <v>386.20000000000005</v>
      </c>
      <c r="K63" s="175" t="s">
        <v>226</v>
      </c>
      <c r="L63" s="34">
        <v>1.1000000000000001</v>
      </c>
      <c r="M63" s="613">
        <f>ROUNDUP(O63/Q63,1)</f>
        <v>386.20000000000005</v>
      </c>
      <c r="N63" s="198" t="s">
        <v>235</v>
      </c>
      <c r="O63" s="623">
        <f>M59</f>
        <v>56134</v>
      </c>
      <c r="P63" s="198" t="s">
        <v>228</v>
      </c>
      <c r="Q63" s="611">
        <f>Berechnungen!B15</f>
        <v>145.376</v>
      </c>
      <c r="R63" s="69"/>
      <c r="S63" s="94"/>
      <c r="T63" s="167"/>
      <c r="U63" s="50"/>
      <c r="V63" s="50"/>
      <c r="W63" s="50"/>
      <c r="X63" s="50"/>
      <c r="Y63" s="50"/>
      <c r="Z63" s="50"/>
      <c r="AA63" s="167"/>
      <c r="AB63" s="15"/>
      <c r="AC63" s="15"/>
      <c r="AD63" s="15"/>
      <c r="AE63" s="15"/>
      <c r="AF63" s="15"/>
      <c r="AG63" s="15"/>
      <c r="AH63" s="44"/>
      <c r="AI63" s="774" t="s">
        <v>32</v>
      </c>
      <c r="AJ63" s="774"/>
      <c r="AK63" s="775"/>
      <c r="AL63" s="775"/>
      <c r="AM63" s="775"/>
      <c r="AN63" s="13"/>
      <c r="AO63" s="530"/>
      <c r="AP63" s="167"/>
      <c r="AQ63" s="737"/>
      <c r="AR63" s="737"/>
      <c r="AS63" s="737"/>
      <c r="AT63" s="737"/>
      <c r="AU63" s="789"/>
      <c r="AV63" s="737"/>
      <c r="AW63" s="737"/>
      <c r="AX63" s="738"/>
      <c r="AY63" s="736"/>
      <c r="AZ63" s="738"/>
      <c r="BA63" s="736"/>
      <c r="BB63" s="738"/>
      <c r="BC63" s="816"/>
    </row>
    <row r="64" spans="1:55" ht="15" thickBot="1" x14ac:dyDescent="0.35">
      <c r="A64" s="19"/>
      <c r="B64" s="21"/>
      <c r="C64" s="21"/>
      <c r="D64" s="21"/>
      <c r="E64" s="32"/>
      <c r="F64" s="32"/>
      <c r="G64" s="32"/>
      <c r="H64" s="131"/>
      <c r="I64" s="132"/>
      <c r="J64" s="132"/>
      <c r="K64" s="132"/>
      <c r="L64" s="213"/>
      <c r="M64" s="212"/>
      <c r="N64" s="23"/>
      <c r="O64" s="23"/>
      <c r="P64" s="23"/>
      <c r="Q64" s="23"/>
      <c r="R64" s="23"/>
      <c r="S64" s="214"/>
      <c r="T64" s="846"/>
      <c r="U64" s="846"/>
      <c r="V64" s="846"/>
      <c r="W64" s="846"/>
      <c r="X64" s="846"/>
      <c r="Y64" s="846"/>
      <c r="Z64" s="846"/>
      <c r="AA64" s="846"/>
      <c r="AB64" s="846"/>
      <c r="AC64" s="846"/>
      <c r="AD64" s="846"/>
      <c r="AE64" s="846"/>
      <c r="AF64" s="846"/>
      <c r="AG64" s="846"/>
      <c r="AH64" s="846"/>
      <c r="AI64" s="846"/>
      <c r="AJ64" s="846"/>
      <c r="AK64" s="846"/>
      <c r="AL64" s="846"/>
      <c r="AM64" s="846"/>
      <c r="AN64" s="846"/>
      <c r="AO64" s="846"/>
      <c r="AP64" s="846"/>
      <c r="AQ64" s="846"/>
      <c r="AR64" s="846"/>
      <c r="AS64" s="846"/>
      <c r="AT64" s="846"/>
      <c r="AU64" s="846"/>
      <c r="AV64" s="846"/>
      <c r="AW64" s="846"/>
      <c r="AX64" s="846"/>
      <c r="AY64" s="846"/>
      <c r="AZ64" s="846"/>
      <c r="BA64" s="846"/>
      <c r="BB64" s="846"/>
      <c r="BC64" s="847"/>
    </row>
    <row r="65" spans="1:58" ht="15" customHeight="1" x14ac:dyDescent="0.3">
      <c r="A65" s="19"/>
      <c r="B65" s="854" t="s">
        <v>69</v>
      </c>
      <c r="C65" s="855"/>
      <c r="D65" s="856"/>
      <c r="E65" s="32"/>
      <c r="F65" s="32"/>
      <c r="G65" s="32"/>
      <c r="H65" s="34"/>
      <c r="I65" s="34"/>
      <c r="J65" s="34"/>
      <c r="K65" s="34"/>
      <c r="L65" s="21"/>
      <c r="M65" s="21"/>
      <c r="T65" s="374" t="s">
        <v>50</v>
      </c>
      <c r="U65" s="821"/>
      <c r="V65" s="821"/>
      <c r="W65" s="821"/>
      <c r="X65" s="821"/>
      <c r="Y65" s="821"/>
      <c r="Z65" s="821"/>
      <c r="AA65" s="822"/>
      <c r="AB65" s="730" t="s">
        <v>557</v>
      </c>
      <c r="AC65" s="731"/>
      <c r="AD65" s="731"/>
      <c r="AE65" s="731"/>
      <c r="AF65" s="731"/>
      <c r="AG65" s="731"/>
      <c r="AH65" s="754"/>
      <c r="AI65" s="838"/>
      <c r="AJ65" s="839"/>
      <c r="AK65" s="839"/>
      <c r="AL65" s="839"/>
      <c r="AM65" s="839"/>
      <c r="AN65" s="840"/>
      <c r="AO65" s="749"/>
      <c r="AP65" s="799"/>
      <c r="AQ65" s="749"/>
      <c r="AR65" s="745"/>
      <c r="AS65" s="745"/>
      <c r="AT65" s="799"/>
      <c r="AU65" s="749"/>
      <c r="AV65" s="745"/>
      <c r="AW65" s="745"/>
      <c r="AX65" s="745"/>
      <c r="AY65" s="745"/>
      <c r="AZ65" s="745"/>
      <c r="BA65" s="745"/>
      <c r="BB65" s="745"/>
      <c r="BC65" s="799"/>
    </row>
    <row r="66" spans="1:58" ht="30" customHeight="1" thickBot="1" x14ac:dyDescent="0.35">
      <c r="A66" s="19"/>
      <c r="B66" s="654"/>
      <c r="C66" s="659">
        <f>Berechnungen!B114</f>
        <v>3694</v>
      </c>
      <c r="D66" s="655" t="s">
        <v>666</v>
      </c>
      <c r="E66" s="32"/>
      <c r="F66" s="32"/>
      <c r="G66" s="32"/>
      <c r="H66" s="860" t="s">
        <v>587</v>
      </c>
      <c r="I66" s="860"/>
      <c r="J66" s="860"/>
      <c r="K66" s="860"/>
      <c r="L66" s="21"/>
      <c r="M66" s="21"/>
      <c r="S66" s="21"/>
      <c r="T66" s="375" t="s">
        <v>621</v>
      </c>
      <c r="U66" s="821"/>
      <c r="V66" s="821"/>
      <c r="W66" s="821"/>
      <c r="X66" s="821"/>
      <c r="Y66" s="821"/>
      <c r="Z66" s="821"/>
      <c r="AA66" s="822"/>
      <c r="AB66" s="730"/>
      <c r="AC66" s="731"/>
      <c r="AD66" s="731"/>
      <c r="AE66" s="731"/>
      <c r="AF66" s="731"/>
      <c r="AG66" s="731"/>
      <c r="AH66" s="754"/>
      <c r="AI66" s="841"/>
      <c r="AJ66" s="818"/>
      <c r="AK66" s="818"/>
      <c r="AL66" s="818"/>
      <c r="AM66" s="818"/>
      <c r="AN66" s="819"/>
      <c r="AO66" s="750"/>
      <c r="AP66" s="782"/>
      <c r="AQ66" s="750"/>
      <c r="AR66" s="728"/>
      <c r="AS66" s="728"/>
      <c r="AT66" s="782"/>
      <c r="AU66" s="750"/>
      <c r="AV66" s="728"/>
      <c r="AW66" s="728"/>
      <c r="AX66" s="728"/>
      <c r="AY66" s="728"/>
      <c r="AZ66" s="728"/>
      <c r="BA66" s="728"/>
      <c r="BB66" s="728"/>
      <c r="BC66" s="782"/>
    </row>
    <row r="67" spans="1:58" ht="21.75" customHeight="1" thickBot="1" x14ac:dyDescent="0.35">
      <c r="A67" s="19"/>
      <c r="B67" s="854" t="s">
        <v>47</v>
      </c>
      <c r="C67" s="855"/>
      <c r="D67" s="856"/>
      <c r="E67" s="32"/>
      <c r="F67" s="32"/>
      <c r="G67" s="32"/>
      <c r="H67" s="34"/>
      <c r="I67" s="34"/>
      <c r="J67" s="34"/>
      <c r="K67" s="34"/>
      <c r="L67" s="21"/>
      <c r="M67" s="21"/>
      <c r="S67" s="21"/>
      <c r="T67" s="376">
        <f>ROUND(Berechnungen!B64,0)</f>
        <v>1466</v>
      </c>
      <c r="U67" s="821"/>
      <c r="V67" s="821"/>
      <c r="W67" s="821"/>
      <c r="X67" s="821"/>
      <c r="Y67" s="821"/>
      <c r="Z67" s="821"/>
      <c r="AA67" s="822"/>
      <c r="AB67" s="730"/>
      <c r="AC67" s="731"/>
      <c r="AD67" s="731"/>
      <c r="AE67" s="731"/>
      <c r="AF67" s="731"/>
      <c r="AG67" s="731"/>
      <c r="AH67" s="754"/>
      <c r="AI67" s="842"/>
      <c r="AJ67" s="843"/>
      <c r="AK67" s="843"/>
      <c r="AL67" s="843"/>
      <c r="AM67" s="843"/>
      <c r="AN67" s="844"/>
      <c r="AO67" s="789"/>
      <c r="AP67" s="816"/>
      <c r="AQ67" s="789"/>
      <c r="AR67" s="737"/>
      <c r="AS67" s="737"/>
      <c r="AT67" s="816"/>
      <c r="AU67" s="789"/>
      <c r="AV67" s="737"/>
      <c r="AW67" s="737"/>
      <c r="AX67" s="737"/>
      <c r="AY67" s="737"/>
      <c r="AZ67" s="737"/>
      <c r="BA67" s="737"/>
      <c r="BB67" s="737"/>
      <c r="BC67" s="816"/>
    </row>
    <row r="68" spans="1:58" ht="15" customHeight="1" thickBot="1" x14ac:dyDescent="0.35">
      <c r="A68" s="19"/>
      <c r="B68" s="656"/>
      <c r="C68" s="661"/>
      <c r="D68" s="658" t="s">
        <v>665</v>
      </c>
      <c r="E68" s="32"/>
      <c r="F68" s="32"/>
      <c r="G68" s="32"/>
      <c r="H68" s="34"/>
      <c r="I68" s="34"/>
      <c r="J68" s="34"/>
      <c r="K68" s="34"/>
      <c r="L68" s="21"/>
      <c r="M68" s="21"/>
      <c r="S68" s="34"/>
      <c r="T68" s="823"/>
      <c r="U68" s="824"/>
      <c r="V68" s="824"/>
      <c r="W68" s="824"/>
      <c r="X68" s="824"/>
      <c r="Y68" s="824"/>
      <c r="Z68" s="824"/>
      <c r="AA68" s="824"/>
      <c r="AB68" s="824"/>
      <c r="AC68" s="824"/>
      <c r="AD68" s="824"/>
      <c r="AE68" s="824"/>
      <c r="AF68" s="824"/>
      <c r="AG68" s="824"/>
      <c r="AH68" s="824"/>
      <c r="AI68" s="824"/>
      <c r="AJ68" s="824"/>
      <c r="AK68" s="824"/>
      <c r="AL68" s="824"/>
      <c r="AM68" s="824"/>
      <c r="AN68" s="824"/>
      <c r="AO68" s="824"/>
      <c r="AP68" s="824"/>
      <c r="AQ68" s="824"/>
      <c r="AR68" s="824"/>
      <c r="AS68" s="824"/>
      <c r="AT68" s="824"/>
      <c r="AU68" s="824"/>
      <c r="AV68" s="824"/>
      <c r="AW68" s="824"/>
      <c r="AX68" s="824"/>
      <c r="AY68" s="824"/>
      <c r="AZ68" s="824"/>
      <c r="BA68" s="824"/>
      <c r="BB68" s="824"/>
      <c r="BC68" s="825"/>
    </row>
    <row r="69" spans="1:58" ht="42.75" customHeight="1" thickBot="1" x14ac:dyDescent="0.35">
      <c r="A69" s="19"/>
      <c r="B69" s="21"/>
      <c r="C69" s="21"/>
      <c r="D69" s="21"/>
      <c r="E69" s="32"/>
      <c r="F69" s="31"/>
      <c r="G69" s="32"/>
      <c r="H69" s="34"/>
      <c r="I69" s="34"/>
      <c r="J69" s="34"/>
      <c r="K69" s="34"/>
      <c r="M69" s="21"/>
      <c r="S69" s="389"/>
      <c r="T69" s="374" t="s">
        <v>560</v>
      </c>
      <c r="U69" s="752" t="s">
        <v>541</v>
      </c>
      <c r="V69" s="752"/>
      <c r="W69" s="752"/>
      <c r="X69" s="752"/>
      <c r="Y69" s="752"/>
      <c r="Z69" s="752"/>
      <c r="AA69" s="779"/>
      <c r="AB69" s="795" t="s">
        <v>326</v>
      </c>
      <c r="AC69" s="795"/>
      <c r="AD69" s="795"/>
      <c r="AE69" s="795"/>
      <c r="AF69" s="795"/>
      <c r="AG69" s="795"/>
      <c r="AH69" s="796"/>
      <c r="AI69" s="826"/>
      <c r="AJ69" s="827"/>
      <c r="AK69" s="827"/>
      <c r="AL69" s="827"/>
      <c r="AM69" s="827"/>
      <c r="AN69" s="828"/>
      <c r="AO69" s="793" t="s">
        <v>240</v>
      </c>
      <c r="AP69" s="794"/>
      <c r="AQ69" s="803"/>
      <c r="AR69" s="804"/>
      <c r="AS69" s="804"/>
      <c r="AT69" s="805"/>
      <c r="AU69" s="803"/>
      <c r="AV69" s="804"/>
      <c r="AW69" s="804"/>
      <c r="AX69" s="804"/>
      <c r="AY69" s="804"/>
      <c r="AZ69" s="804"/>
      <c r="BA69" s="804"/>
      <c r="BB69" s="804"/>
      <c r="BC69" s="805"/>
    </row>
    <row r="70" spans="1:58" ht="18.75" customHeight="1" thickBot="1" x14ac:dyDescent="0.35">
      <c r="A70" s="19"/>
      <c r="B70" s="854" t="s">
        <v>46</v>
      </c>
      <c r="C70" s="855"/>
      <c r="D70" s="856"/>
      <c r="E70" s="31"/>
      <c r="F70" s="31"/>
      <c r="G70" s="31"/>
      <c r="H70" s="21"/>
      <c r="I70" s="21"/>
      <c r="J70" s="21"/>
      <c r="K70" s="21"/>
      <c r="L70" s="21"/>
      <c r="M70" s="21"/>
      <c r="S70" s="614"/>
      <c r="T70" s="375" t="s">
        <v>66</v>
      </c>
      <c r="U70" s="728" t="s">
        <v>564</v>
      </c>
      <c r="V70" s="728"/>
      <c r="W70" s="728"/>
      <c r="X70" s="728"/>
      <c r="Y70" s="728"/>
      <c r="Z70" s="728"/>
      <c r="AA70" s="782"/>
      <c r="AB70" s="797">
        <f>AP70</f>
        <v>0.1</v>
      </c>
      <c r="AC70" s="797"/>
      <c r="AD70" s="797"/>
      <c r="AE70" s="797"/>
      <c r="AF70" s="797"/>
      <c r="AG70" s="797"/>
      <c r="AH70" s="798"/>
      <c r="AI70" s="829"/>
      <c r="AJ70" s="830"/>
      <c r="AK70" s="830"/>
      <c r="AL70" s="830"/>
      <c r="AM70" s="830"/>
      <c r="AN70" s="831"/>
      <c r="AO70" s="258" t="s">
        <v>241</v>
      </c>
      <c r="AP70" s="259">
        <v>0.1</v>
      </c>
      <c r="AQ70" s="806"/>
      <c r="AR70" s="807"/>
      <c r="AS70" s="807"/>
      <c r="AT70" s="808"/>
      <c r="AU70" s="806"/>
      <c r="AV70" s="807"/>
      <c r="AW70" s="807"/>
      <c r="AX70" s="807"/>
      <c r="AY70" s="807"/>
      <c r="AZ70" s="807"/>
      <c r="BA70" s="807"/>
      <c r="BB70" s="807"/>
      <c r="BC70" s="808"/>
    </row>
    <row r="71" spans="1:58" ht="16.2" thickBot="1" x14ac:dyDescent="0.35">
      <c r="A71" s="19"/>
      <c r="B71" s="660"/>
      <c r="C71" s="662">
        <f>Berechnungen!B110</f>
        <v>5387</v>
      </c>
      <c r="D71" s="663" t="s">
        <v>62</v>
      </c>
      <c r="T71" s="480">
        <f>ROUND(Berechnungen!B69,0)</f>
        <v>48063</v>
      </c>
      <c r="U71" s="14" t="s">
        <v>538</v>
      </c>
      <c r="V71" s="198" t="s">
        <v>235</v>
      </c>
      <c r="W71" s="14" t="s">
        <v>494</v>
      </c>
      <c r="X71" s="198" t="s">
        <v>233</v>
      </c>
      <c r="Y71" s="14" t="s">
        <v>238</v>
      </c>
      <c r="AA71" s="20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94"/>
      <c r="AR71" s="294"/>
      <c r="AS71" s="294"/>
      <c r="AT71" s="294"/>
      <c r="AU71" s="267"/>
      <c r="AV71" s="267"/>
      <c r="AW71" s="267"/>
      <c r="AX71" s="267"/>
      <c r="AY71" s="267"/>
      <c r="AZ71" s="267"/>
      <c r="BA71" s="267"/>
      <c r="BB71" s="267"/>
      <c r="BC71" s="274"/>
    </row>
    <row r="72" spans="1:58" ht="15" customHeight="1" x14ac:dyDescent="0.3">
      <c r="A72" s="19"/>
      <c r="U72" s="622">
        <f>ROUNDUP(W72+Y72,0)</f>
        <v>612</v>
      </c>
      <c r="V72" s="198" t="s">
        <v>235</v>
      </c>
      <c r="W72" s="455">
        <f>Berechnungen!D40</f>
        <v>92.738984800000011</v>
      </c>
      <c r="X72" s="175" t="s">
        <v>233</v>
      </c>
      <c r="Y72">
        <f>U74</f>
        <v>518.29999999999995</v>
      </c>
      <c r="AA72" s="20"/>
      <c r="AB72" s="745" t="s">
        <v>53</v>
      </c>
      <c r="AC72" s="745"/>
      <c r="AD72" s="745"/>
      <c r="AE72" s="745"/>
      <c r="AF72" s="745"/>
      <c r="AG72" s="745"/>
      <c r="AH72" s="799"/>
      <c r="AI72" s="751" t="s">
        <v>225</v>
      </c>
      <c r="AJ72" s="752"/>
      <c r="AK72" s="752"/>
      <c r="AL72" s="752"/>
      <c r="AM72" s="779"/>
      <c r="AO72" s="749" t="s">
        <v>352</v>
      </c>
      <c r="AP72" s="799"/>
      <c r="AQ72" s="749"/>
      <c r="AR72" s="745"/>
      <c r="AS72" s="745"/>
      <c r="AT72" s="799"/>
      <c r="AU72" s="170" t="s">
        <v>107</v>
      </c>
      <c r="AV72" s="170"/>
      <c r="AW72" s="170"/>
      <c r="AX72" s="170"/>
      <c r="AY72" s="172" t="s">
        <v>239</v>
      </c>
      <c r="AZ72" s="170"/>
      <c r="BA72" s="170">
        <v>0</v>
      </c>
      <c r="BB72" s="170" t="s">
        <v>54</v>
      </c>
      <c r="BC72" s="171"/>
    </row>
    <row r="73" spans="1:58" ht="15" customHeight="1" thickBot="1" x14ac:dyDescent="0.35">
      <c r="A73" s="19"/>
      <c r="U73" s="91" t="s">
        <v>246</v>
      </c>
      <c r="V73" s="175" t="s">
        <v>235</v>
      </c>
      <c r="W73" s="34" t="s">
        <v>242</v>
      </c>
      <c r="X73" s="175" t="s">
        <v>233</v>
      </c>
      <c r="Y73" s="34" t="s">
        <v>243</v>
      </c>
      <c r="Z73" s="175" t="s">
        <v>226</v>
      </c>
      <c r="AA73" s="94" t="s">
        <v>244</v>
      </c>
      <c r="AB73" s="800"/>
      <c r="AC73" s="800"/>
      <c r="AD73" s="800"/>
      <c r="AE73" s="800"/>
      <c r="AF73" s="800"/>
      <c r="AG73" s="800"/>
      <c r="AH73" s="801"/>
      <c r="AI73" s="207" t="s">
        <v>251</v>
      </c>
      <c r="AJ73" s="814">
        <f>BA73</f>
        <v>0</v>
      </c>
      <c r="AK73" s="814"/>
      <c r="AL73" s="103"/>
      <c r="AM73" s="228"/>
      <c r="AN73" s="40"/>
      <c r="AO73" s="802"/>
      <c r="AP73" s="801"/>
      <c r="AQ73" s="750"/>
      <c r="AR73" s="728"/>
      <c r="AS73" s="728"/>
      <c r="AT73" s="782"/>
      <c r="AU73" s="93" t="s">
        <v>250</v>
      </c>
      <c r="AV73" s="10"/>
      <c r="AW73" s="173"/>
      <c r="AX73" s="10"/>
      <c r="AY73" s="10"/>
      <c r="AZ73" s="10"/>
      <c r="BA73" s="174">
        <f>BA72-BA84</f>
        <v>0</v>
      </c>
      <c r="BB73" s="10" t="s">
        <v>54</v>
      </c>
      <c r="BC73" s="45"/>
    </row>
    <row r="74" spans="1:58" ht="19.5" customHeight="1" x14ac:dyDescent="0.3">
      <c r="A74" s="19"/>
      <c r="U74" s="223">
        <f>W74+(Y74*AA74)</f>
        <v>518.29999999999995</v>
      </c>
      <c r="V74" s="236" t="s">
        <v>235</v>
      </c>
      <c r="W74" s="460">
        <f>AB76+AB88+AB95+AB107+AB121+AB128</f>
        <v>481.74</v>
      </c>
      <c r="X74" s="236" t="s">
        <v>233</v>
      </c>
      <c r="Y74" s="323">
        <f>AB70</f>
        <v>0.1</v>
      </c>
      <c r="Z74" s="236" t="s">
        <v>226</v>
      </c>
      <c r="AA74" s="477">
        <f>AJ73+AK85+AK92+AK105+AK118+AK125</f>
        <v>365.6</v>
      </c>
      <c r="AB74" s="731" t="s">
        <v>61</v>
      </c>
      <c r="AC74" s="731"/>
      <c r="AD74" s="731"/>
      <c r="AE74" s="731"/>
      <c r="AF74" s="731"/>
      <c r="AG74" s="731"/>
      <c r="AH74" s="754"/>
      <c r="AI74" s="730" t="s">
        <v>101</v>
      </c>
      <c r="AJ74" s="731"/>
      <c r="AK74" s="731"/>
      <c r="AL74" s="731"/>
      <c r="AM74" s="754"/>
      <c r="AN74" s="34"/>
      <c r="AO74" s="68" t="s">
        <v>338</v>
      </c>
      <c r="AP74" s="186"/>
      <c r="AQ74" s="750"/>
      <c r="AR74" s="728"/>
      <c r="AS74" s="728"/>
      <c r="AT74" s="782"/>
      <c r="AU74" s="15" t="s">
        <v>108</v>
      </c>
      <c r="AV74" s="15"/>
      <c r="AW74" s="15"/>
      <c r="AX74" s="15"/>
      <c r="AY74" s="15"/>
      <c r="AZ74" s="15"/>
      <c r="BA74" s="15"/>
      <c r="BB74" s="15"/>
      <c r="BC74" s="44"/>
      <c r="BD74" s="39"/>
      <c r="BE74" s="39"/>
      <c r="BF74" s="790" t="s">
        <v>309</v>
      </c>
    </row>
    <row r="75" spans="1:58" ht="19.5" customHeight="1" x14ac:dyDescent="0.3">
      <c r="A75" s="19"/>
      <c r="U75" s="783" t="s">
        <v>245</v>
      </c>
      <c r="V75" s="784"/>
      <c r="W75" s="784"/>
      <c r="X75" s="784"/>
      <c r="Y75" s="784"/>
      <c r="Z75" s="784"/>
      <c r="AA75" s="785"/>
      <c r="AB75" s="251" t="s">
        <v>238</v>
      </c>
      <c r="AC75" s="175" t="s">
        <v>235</v>
      </c>
      <c r="AD75" s="34" t="s">
        <v>237</v>
      </c>
      <c r="AE75" s="176" t="s">
        <v>226</v>
      </c>
      <c r="AF75" s="34" t="s">
        <v>234</v>
      </c>
      <c r="AG75" s="176" t="s">
        <v>226</v>
      </c>
      <c r="AH75" s="158" t="s">
        <v>236</v>
      </c>
      <c r="AI75" s="177" t="s">
        <v>234</v>
      </c>
      <c r="AJ75" s="252" t="s">
        <v>235</v>
      </c>
      <c r="AK75" s="252" t="s">
        <v>268</v>
      </c>
      <c r="AL75" s="34" t="s">
        <v>228</v>
      </c>
      <c r="AM75" s="158" t="s">
        <v>266</v>
      </c>
      <c r="AN75" s="34"/>
      <c r="AO75" s="48" t="str">
        <f>'Kat. 1 U-Wert'!B9</f>
        <v>Massive Konstruktion</v>
      </c>
      <c r="AP75" s="79" t="s">
        <v>312</v>
      </c>
      <c r="AQ75" s="750"/>
      <c r="AR75" s="728"/>
      <c r="AS75" s="728"/>
      <c r="AT75" s="782"/>
      <c r="AU75" s="809" t="s">
        <v>229</v>
      </c>
      <c r="AV75" s="809"/>
      <c r="AW75" s="809"/>
      <c r="AX75" s="809"/>
      <c r="AY75" s="178">
        <v>0.2</v>
      </c>
      <c r="AZ75" s="12" t="s">
        <v>230</v>
      </c>
      <c r="BA75" s="810" t="s">
        <v>231</v>
      </c>
      <c r="BB75" s="765"/>
      <c r="BC75" s="179">
        <v>0.04</v>
      </c>
      <c r="BF75" s="791"/>
    </row>
    <row r="76" spans="1:58" ht="19.5" customHeight="1" x14ac:dyDescent="0.3">
      <c r="A76" s="19"/>
      <c r="U76" s="786"/>
      <c r="V76" s="787"/>
      <c r="W76" s="787"/>
      <c r="X76" s="787"/>
      <c r="Y76" s="787"/>
      <c r="Z76" s="787"/>
      <c r="AA76" s="788"/>
      <c r="AB76" s="474">
        <f>AD76*AF76*AH76</f>
        <v>0</v>
      </c>
      <c r="AC76" s="175" t="s">
        <v>235</v>
      </c>
      <c r="AD76" s="34">
        <v>1</v>
      </c>
      <c r="AE76" s="176" t="s">
        <v>226</v>
      </c>
      <c r="AF76" s="390">
        <f>AI77</f>
        <v>0.2535</v>
      </c>
      <c r="AG76" s="176" t="s">
        <v>226</v>
      </c>
      <c r="AH76" s="180">
        <f>AJ73</f>
        <v>0</v>
      </c>
      <c r="AI76" s="91">
        <f>ROUND(AK76/AM76,3)</f>
        <v>0.19500000000000001</v>
      </c>
      <c r="AJ76" s="175" t="s">
        <v>235</v>
      </c>
      <c r="AK76" s="253">
        <v>1</v>
      </c>
      <c r="AL76" s="34" t="s">
        <v>228</v>
      </c>
      <c r="AM76" s="226">
        <f>AU79</f>
        <v>5.14</v>
      </c>
      <c r="AN76" s="34"/>
      <c r="AO76" s="48" t="str">
        <f>'Kat. 1 U-Wert'!B10</f>
        <v>Holzkonstruktion</v>
      </c>
      <c r="AP76" s="79" t="s">
        <v>313</v>
      </c>
      <c r="AQ76" s="750"/>
      <c r="AR76" s="728"/>
      <c r="AS76" s="728"/>
      <c r="AT76" s="782"/>
      <c r="AU76" s="811" t="s">
        <v>306</v>
      </c>
      <c r="AV76" s="811"/>
      <c r="AW76" s="811"/>
      <c r="AX76" s="811"/>
      <c r="AY76" s="181">
        <v>0.2</v>
      </c>
      <c r="AZ76" s="12" t="s">
        <v>230</v>
      </c>
      <c r="BA76" s="810" t="s">
        <v>232</v>
      </c>
      <c r="BB76" s="765"/>
      <c r="BC76" s="179">
        <v>0.04</v>
      </c>
      <c r="BF76" s="791"/>
    </row>
    <row r="77" spans="1:58" ht="19.5" customHeight="1" thickBot="1" x14ac:dyDescent="0.35">
      <c r="A77" s="19"/>
      <c r="U77" s="786" t="s">
        <v>224</v>
      </c>
      <c r="V77" s="787"/>
      <c r="W77" s="787"/>
      <c r="X77" s="787"/>
      <c r="Y77" s="787"/>
      <c r="Z77" s="787"/>
      <c r="AA77" s="788"/>
      <c r="AB77" s="34"/>
      <c r="AC77" s="34"/>
      <c r="AD77" s="34"/>
      <c r="AE77" s="34"/>
      <c r="AF77" s="34"/>
      <c r="AG77" s="34"/>
      <c r="AH77" s="94"/>
      <c r="AI77" s="299">
        <f>AK77*AM77</f>
        <v>0.2535</v>
      </c>
      <c r="AJ77" s="182" t="s">
        <v>235</v>
      </c>
      <c r="AK77" s="254">
        <f>AI76</f>
        <v>0.19500000000000001</v>
      </c>
      <c r="AL77" t="s">
        <v>226</v>
      </c>
      <c r="AM77" s="183">
        <v>1.3</v>
      </c>
      <c r="AN77" s="34"/>
      <c r="AO77" s="56"/>
      <c r="AP77" s="79"/>
      <c r="AQ77" s="750"/>
      <c r="AR77" s="728"/>
      <c r="AS77" s="728"/>
      <c r="AT77" s="782"/>
      <c r="AU77" s="320" t="s">
        <v>327</v>
      </c>
      <c r="BC77" s="20"/>
      <c r="BF77" s="791"/>
    </row>
    <row r="78" spans="1:58" ht="19.5" customHeight="1" x14ac:dyDescent="0.3">
      <c r="A78" s="19"/>
      <c r="U78" s="478" t="s">
        <v>247</v>
      </c>
      <c r="V78" s="467" t="s">
        <v>235</v>
      </c>
      <c r="W78" s="32" t="s">
        <v>246</v>
      </c>
      <c r="X78" s="32" t="s">
        <v>228</v>
      </c>
      <c r="Y78" s="32" t="s">
        <v>244</v>
      </c>
      <c r="Z78" s="31"/>
      <c r="AA78" s="468"/>
      <c r="AB78" s="34"/>
      <c r="AC78" s="34"/>
      <c r="AD78" s="34"/>
      <c r="AE78" s="34"/>
      <c r="AF78" s="34"/>
      <c r="AG78" s="34"/>
      <c r="AH78" s="94"/>
      <c r="AI78" s="52"/>
      <c r="AJ78" s="39"/>
      <c r="AK78" s="39"/>
      <c r="AL78" s="39"/>
      <c r="AM78" s="53"/>
      <c r="AN78" s="37"/>
      <c r="AO78" s="248"/>
      <c r="AP78" s="186"/>
      <c r="AQ78" s="750"/>
      <c r="AR78" s="728"/>
      <c r="AS78" s="728"/>
      <c r="AT78" s="782"/>
      <c r="AU78" s="205" t="s">
        <v>307</v>
      </c>
      <c r="AV78" s="184" t="s">
        <v>235</v>
      </c>
      <c r="AW78" s="185" t="s">
        <v>262</v>
      </c>
      <c r="AX78" s="184" t="s">
        <v>233</v>
      </c>
      <c r="AY78" s="36" t="s">
        <v>227</v>
      </c>
      <c r="AZ78" s="36" t="s">
        <v>228</v>
      </c>
      <c r="BA78" s="36" t="s">
        <v>265</v>
      </c>
      <c r="BB78" s="184" t="s">
        <v>233</v>
      </c>
      <c r="BC78" s="186" t="s">
        <v>264</v>
      </c>
      <c r="BD78" s="187" t="s">
        <v>226</v>
      </c>
      <c r="BE78" s="160" t="s">
        <v>267</v>
      </c>
      <c r="BF78" s="791"/>
    </row>
    <row r="79" spans="1:58" ht="19.5" customHeight="1" thickBot="1" x14ac:dyDescent="0.35">
      <c r="A79" s="19"/>
      <c r="U79" s="479">
        <f>W79/Y79</f>
        <v>1.4176695842450764</v>
      </c>
      <c r="V79" s="467" t="s">
        <v>235</v>
      </c>
      <c r="W79" s="469">
        <f>U74</f>
        <v>518.29999999999995</v>
      </c>
      <c r="X79" s="32" t="s">
        <v>228</v>
      </c>
      <c r="Y79" s="470">
        <f>AA74</f>
        <v>365.6</v>
      </c>
      <c r="Z79" s="31"/>
      <c r="AA79" s="468"/>
      <c r="AB79" s="34"/>
      <c r="AC79" s="34"/>
      <c r="AD79" s="34"/>
      <c r="AE79" s="34"/>
      <c r="AF79" s="34"/>
      <c r="AG79" s="34"/>
      <c r="AH79" s="94"/>
      <c r="AI79" s="19"/>
      <c r="AM79" s="20"/>
      <c r="AN79" s="34"/>
      <c r="AO79" s="56"/>
      <c r="AP79" s="79"/>
      <c r="AQ79" s="750"/>
      <c r="AR79" s="728"/>
      <c r="AS79" s="728"/>
      <c r="AT79" s="782"/>
      <c r="AU79" s="241">
        <f>AW79+(AY79/BA79)+BC79</f>
        <v>5.14</v>
      </c>
      <c r="AV79" s="188" t="s">
        <v>235</v>
      </c>
      <c r="AW79" s="189">
        <f>'Kat. 1 U-Wert'!C51</f>
        <v>0.1</v>
      </c>
      <c r="AX79" s="190" t="s">
        <v>233</v>
      </c>
      <c r="AY79" s="189">
        <f>AY75</f>
        <v>0.2</v>
      </c>
      <c r="AZ79" s="67" t="s">
        <v>228</v>
      </c>
      <c r="BA79" s="191">
        <f>BC75</f>
        <v>0.04</v>
      </c>
      <c r="BB79" s="190" t="s">
        <v>233</v>
      </c>
      <c r="BC79" s="192">
        <f>'Kat. 1 U-Wert'!C52</f>
        <v>0.04</v>
      </c>
      <c r="BD79" s="193" t="s">
        <v>226</v>
      </c>
      <c r="BE79" s="194">
        <v>0.3</v>
      </c>
      <c r="BF79" s="791"/>
    </row>
    <row r="80" spans="1:58" ht="19.5" customHeight="1" x14ac:dyDescent="0.3">
      <c r="A80" s="19"/>
      <c r="U80" s="165"/>
      <c r="V80" s="21"/>
      <c r="W80" s="21"/>
      <c r="X80" s="21"/>
      <c r="Y80" s="21"/>
      <c r="Z80" s="21"/>
      <c r="AA80" s="166"/>
      <c r="AB80" s="34"/>
      <c r="AC80" s="34"/>
      <c r="AD80" s="34"/>
      <c r="AE80" s="34"/>
      <c r="AF80" s="34"/>
      <c r="AG80" s="34"/>
      <c r="AH80" s="94"/>
      <c r="AI80" s="300">
        <f>ROUND(AK80/AM80,3)</f>
        <v>0.191</v>
      </c>
      <c r="AJ80" s="175" t="s">
        <v>235</v>
      </c>
      <c r="AK80" s="253">
        <v>1</v>
      </c>
      <c r="AL80" s="34" t="s">
        <v>228</v>
      </c>
      <c r="AM80" s="227">
        <f>AU81</f>
        <v>5.2486956521739128</v>
      </c>
      <c r="AN80" s="34"/>
      <c r="AO80" s="56"/>
      <c r="AP80" s="79"/>
      <c r="AQ80" s="750"/>
      <c r="AR80" s="728"/>
      <c r="AS80" s="728"/>
      <c r="AT80" s="782"/>
      <c r="AU80" s="205" t="s">
        <v>308</v>
      </c>
      <c r="AV80" s="184" t="s">
        <v>235</v>
      </c>
      <c r="AW80" s="185" t="s">
        <v>262</v>
      </c>
      <c r="AX80" s="184" t="s">
        <v>233</v>
      </c>
      <c r="AY80" s="36" t="s">
        <v>227</v>
      </c>
      <c r="AZ80" s="36" t="s">
        <v>228</v>
      </c>
      <c r="BA80" s="36" t="s">
        <v>265</v>
      </c>
      <c r="BB80" s="184" t="s">
        <v>233</v>
      </c>
      <c r="BC80" s="186" t="s">
        <v>263</v>
      </c>
      <c r="BD80" s="182"/>
      <c r="BE80" s="203"/>
      <c r="BF80" s="791"/>
    </row>
    <row r="81" spans="1:58" ht="19.5" customHeight="1" x14ac:dyDescent="0.3">
      <c r="A81" s="19"/>
      <c r="U81" s="165"/>
      <c r="V81" s="21"/>
      <c r="W81" s="21"/>
      <c r="X81" s="21"/>
      <c r="Y81" s="21"/>
      <c r="Z81" s="21"/>
      <c r="AA81" s="166"/>
      <c r="AB81" s="34"/>
      <c r="AC81" s="34"/>
      <c r="AD81" s="34"/>
      <c r="AE81" s="34"/>
      <c r="AF81" s="34"/>
      <c r="AG81" s="34"/>
      <c r="AH81" s="94"/>
      <c r="AI81" s="195" t="s">
        <v>310</v>
      </c>
      <c r="AJ81" s="175"/>
      <c r="AK81" s="253"/>
      <c r="AL81" s="175"/>
      <c r="AM81" s="180"/>
      <c r="AN81" s="34"/>
      <c r="AO81" s="56"/>
      <c r="AP81" s="79"/>
      <c r="AQ81" s="750"/>
      <c r="AR81" s="728"/>
      <c r="AS81" s="728"/>
      <c r="AT81" s="782"/>
      <c r="AU81" s="242">
        <f>AW81+(AY81/BA81+AY82/BA82)+BC81</f>
        <v>5.2486956521739128</v>
      </c>
      <c r="AV81" s="198" t="s">
        <v>235</v>
      </c>
      <c r="AW81" s="199">
        <f>'Kat. 1 U-Wert'!C51</f>
        <v>0.1</v>
      </c>
      <c r="AX81" s="200" t="s">
        <v>233</v>
      </c>
      <c r="AY81" s="199">
        <f>AY76</f>
        <v>0.2</v>
      </c>
      <c r="AZ81" s="14" t="s">
        <v>228</v>
      </c>
      <c r="BA81" s="201">
        <f>BC76</f>
        <v>0.04</v>
      </c>
      <c r="BB81" s="200" t="s">
        <v>233</v>
      </c>
      <c r="BC81" s="202">
        <f>'Kat. 1 U-Wert'!C52</f>
        <v>0.04</v>
      </c>
      <c r="BD81" s="182"/>
      <c r="BE81" s="203"/>
      <c r="BF81" s="791"/>
    </row>
    <row r="82" spans="1:58" ht="19.5" customHeight="1" thickBot="1" x14ac:dyDescent="0.35">
      <c r="A82" s="19"/>
      <c r="U82" s="165"/>
      <c r="V82" s="21"/>
      <c r="W82" s="21"/>
      <c r="X82" s="21"/>
      <c r="Y82" s="21"/>
      <c r="Z82" s="21"/>
      <c r="AA82" s="166"/>
      <c r="AB82" s="132"/>
      <c r="AC82" s="132"/>
      <c r="AD82" s="132"/>
      <c r="AE82" s="132"/>
      <c r="AF82" s="132"/>
      <c r="AG82" s="132"/>
      <c r="AH82" s="215"/>
      <c r="AI82" s="255"/>
      <c r="AJ82" s="229"/>
      <c r="AK82" s="256"/>
      <c r="AL82" s="229"/>
      <c r="AM82" s="276"/>
      <c r="AN82" s="34"/>
      <c r="AO82" s="217"/>
      <c r="AP82" s="222"/>
      <c r="AQ82" s="789"/>
      <c r="AR82" s="737"/>
      <c r="AS82" s="737"/>
      <c r="AT82" s="816"/>
      <c r="AU82" s="221"/>
      <c r="AV82" s="218"/>
      <c r="AW82" s="219"/>
      <c r="AX82" s="220"/>
      <c r="AY82" s="219">
        <v>0.25</v>
      </c>
      <c r="AZ82" s="134" t="s">
        <v>228</v>
      </c>
      <c r="BA82" s="221">
        <v>2.2999999999999998</v>
      </c>
      <c r="BB82" s="220"/>
      <c r="BC82" s="244"/>
      <c r="BD82" s="196"/>
      <c r="BE82" s="197"/>
      <c r="BF82" s="792"/>
    </row>
    <row r="83" spans="1:58" ht="19.5" customHeight="1" thickBot="1" x14ac:dyDescent="0.35">
      <c r="A83" s="19"/>
      <c r="U83" s="165"/>
      <c r="V83" s="21"/>
      <c r="W83" s="21"/>
      <c r="X83" s="21"/>
      <c r="Y83" s="21"/>
      <c r="Z83" s="21"/>
      <c r="AA83" s="166"/>
      <c r="AB83" s="260"/>
      <c r="AC83" s="260"/>
      <c r="AD83" s="260"/>
      <c r="AE83" s="260"/>
      <c r="AF83" s="260"/>
      <c r="AG83" s="260"/>
      <c r="AH83" s="261"/>
      <c r="AI83" s="262"/>
      <c r="AJ83" s="263"/>
      <c r="AK83" s="264"/>
      <c r="AL83" s="263"/>
      <c r="AM83" s="265"/>
      <c r="AN83" s="260"/>
      <c r="AO83" s="266"/>
      <c r="AP83" s="266"/>
      <c r="AQ83" s="316"/>
      <c r="AR83" s="315"/>
      <c r="AS83" s="317"/>
      <c r="AT83" s="318"/>
      <c r="AU83" s="268"/>
      <c r="AV83" s="269"/>
      <c r="AW83" s="270"/>
      <c r="AX83" s="271"/>
      <c r="AY83" s="270"/>
      <c r="AZ83" s="266"/>
      <c r="BA83" s="268"/>
      <c r="BB83" s="271"/>
      <c r="BC83" s="272"/>
      <c r="BD83" s="182"/>
      <c r="BE83" s="203"/>
      <c r="BF83" s="34"/>
    </row>
    <row r="84" spans="1:58" ht="19.5" customHeight="1" x14ac:dyDescent="0.3">
      <c r="A84" s="19"/>
      <c r="U84" s="165"/>
      <c r="V84" s="21"/>
      <c r="W84" s="21"/>
      <c r="X84" s="21"/>
      <c r="Y84" s="21"/>
      <c r="Z84" s="21"/>
      <c r="AA84" s="166"/>
      <c r="AB84" s="752" t="s">
        <v>248</v>
      </c>
      <c r="AC84" s="752"/>
      <c r="AD84" s="752"/>
      <c r="AE84" s="752"/>
      <c r="AF84" s="752"/>
      <c r="AG84" s="752"/>
      <c r="AH84" s="779"/>
      <c r="AI84" s="751" t="s">
        <v>225</v>
      </c>
      <c r="AJ84" s="752"/>
      <c r="AK84" s="752"/>
      <c r="AL84" s="752"/>
      <c r="AM84" s="779"/>
      <c r="AN84" s="94"/>
      <c r="AO84" s="749" t="s">
        <v>352</v>
      </c>
      <c r="AP84" s="799"/>
      <c r="AQ84" s="749"/>
      <c r="AR84" s="745"/>
      <c r="AS84" s="745"/>
      <c r="AT84" s="799"/>
      <c r="AU84" s="309" t="s">
        <v>107</v>
      </c>
      <c r="AV84" s="187"/>
      <c r="AW84" s="233"/>
      <c r="AX84" s="234"/>
      <c r="AY84" s="172" t="s">
        <v>239</v>
      </c>
      <c r="AZ84" s="160"/>
      <c r="BA84" s="235">
        <f>BA72*0.2</f>
        <v>0</v>
      </c>
      <c r="BB84" s="170" t="s">
        <v>54</v>
      </c>
      <c r="BC84" s="161"/>
    </row>
    <row r="85" spans="1:58" ht="19.5" customHeight="1" x14ac:dyDescent="0.3">
      <c r="A85" s="19"/>
      <c r="U85" s="165"/>
      <c r="V85" s="21"/>
      <c r="W85" s="21"/>
      <c r="X85" s="21"/>
      <c r="Y85" s="21"/>
      <c r="Z85" s="21"/>
      <c r="AA85" s="166"/>
      <c r="AB85" s="780"/>
      <c r="AC85" s="780"/>
      <c r="AD85" s="780"/>
      <c r="AE85" s="780"/>
      <c r="AF85" s="780"/>
      <c r="AG85" s="780"/>
      <c r="AH85" s="781"/>
      <c r="AI85" s="207" t="s">
        <v>236</v>
      </c>
      <c r="AJ85" s="190" t="s">
        <v>235</v>
      </c>
      <c r="AK85" s="208">
        <f>BA84</f>
        <v>0</v>
      </c>
      <c r="AL85" s="38"/>
      <c r="AM85" s="60"/>
      <c r="AN85" s="60"/>
      <c r="AO85" s="802"/>
      <c r="AP85" s="801"/>
      <c r="AQ85" s="750"/>
      <c r="AR85" s="728"/>
      <c r="AS85" s="728"/>
      <c r="AT85" s="782"/>
      <c r="AU85" s="159"/>
      <c r="AV85" s="198"/>
      <c r="AW85" s="199"/>
      <c r="AX85" s="200"/>
      <c r="AY85" s="209"/>
      <c r="AZ85" s="14"/>
      <c r="BA85" s="181"/>
      <c r="BB85" s="15"/>
      <c r="BC85" s="79"/>
    </row>
    <row r="86" spans="1:58" ht="19.5" customHeight="1" x14ac:dyDescent="0.3">
      <c r="A86" s="19"/>
      <c r="U86" s="165"/>
      <c r="V86" s="21"/>
      <c r="W86" s="21"/>
      <c r="X86" s="21"/>
      <c r="Y86" s="21"/>
      <c r="Z86" s="21"/>
      <c r="AA86" s="166"/>
      <c r="AB86" s="731" t="s">
        <v>61</v>
      </c>
      <c r="AC86" s="731"/>
      <c r="AD86" s="731"/>
      <c r="AE86" s="731"/>
      <c r="AF86" s="731"/>
      <c r="AG86" s="731"/>
      <c r="AH86" s="754"/>
      <c r="AI86" s="760" t="s">
        <v>101</v>
      </c>
      <c r="AJ86" s="761"/>
      <c r="AK86" s="761"/>
      <c r="AL86" s="761"/>
      <c r="AM86" s="762"/>
      <c r="AN86" s="94"/>
      <c r="AO86" s="68" t="s">
        <v>340</v>
      </c>
      <c r="AP86" s="186"/>
      <c r="AQ86" s="750"/>
      <c r="AR86" s="728"/>
      <c r="AS86" s="728"/>
      <c r="AT86" s="782"/>
      <c r="AU86" s="812" t="s">
        <v>249</v>
      </c>
      <c r="AV86" s="812"/>
      <c r="AW86" s="812"/>
      <c r="AX86" s="812"/>
      <c r="AY86" s="812"/>
      <c r="AZ86" s="36" t="s">
        <v>408</v>
      </c>
      <c r="BA86" s="361">
        <v>2</v>
      </c>
      <c r="BB86" s="239" t="s">
        <v>56</v>
      </c>
      <c r="BC86" s="53"/>
    </row>
    <row r="87" spans="1:58" ht="19.5" customHeight="1" x14ac:dyDescent="0.3">
      <c r="A87" s="19"/>
      <c r="U87" s="165"/>
      <c r="V87" s="21"/>
      <c r="W87" s="21"/>
      <c r="X87" s="21"/>
      <c r="Y87" s="21"/>
      <c r="Z87" s="21"/>
      <c r="AA87" s="166"/>
      <c r="AB87" s="251" t="s">
        <v>238</v>
      </c>
      <c r="AC87" s="175" t="s">
        <v>235</v>
      </c>
      <c r="AD87" s="34" t="s">
        <v>237</v>
      </c>
      <c r="AE87" s="176" t="s">
        <v>226</v>
      </c>
      <c r="AF87" s="34" t="s">
        <v>234</v>
      </c>
      <c r="AG87" s="176" t="s">
        <v>226</v>
      </c>
      <c r="AH87" s="158" t="s">
        <v>236</v>
      </c>
      <c r="AI87" s="177" t="s">
        <v>234</v>
      </c>
      <c r="AJ87" s="175" t="s">
        <v>235</v>
      </c>
      <c r="AK87" s="298">
        <f>BA86</f>
        <v>2</v>
      </c>
      <c r="AL87" s="34"/>
      <c r="AM87" s="94"/>
      <c r="AN87" s="94"/>
      <c r="AO87" s="57" t="str">
        <f>'Kat. 1 U-Wert'!B40</f>
        <v>Holzfenster, zwei Scheiben</v>
      </c>
      <c r="AP87" s="79" t="s">
        <v>328</v>
      </c>
      <c r="AQ87" s="750"/>
      <c r="AR87" s="728"/>
      <c r="AS87" s="728"/>
      <c r="AT87" s="782"/>
      <c r="AU87" s="765" t="s">
        <v>372</v>
      </c>
      <c r="AV87" s="765"/>
      <c r="AW87" s="765"/>
      <c r="AX87" s="765"/>
      <c r="AY87" s="765"/>
      <c r="AZ87" s="765"/>
      <c r="BA87" s="765"/>
      <c r="BB87" s="765"/>
      <c r="BC87" s="756"/>
    </row>
    <row r="88" spans="1:58" ht="19.5" customHeight="1" x14ac:dyDescent="0.3">
      <c r="A88" s="19"/>
      <c r="U88" s="165"/>
      <c r="V88" s="21"/>
      <c r="W88" s="21"/>
      <c r="X88" s="21"/>
      <c r="Y88" s="21"/>
      <c r="Z88" s="21"/>
      <c r="AA88" s="166"/>
      <c r="AB88" s="474">
        <f>AD88*AF88*AH88</f>
        <v>0</v>
      </c>
      <c r="AC88" s="175" t="s">
        <v>235</v>
      </c>
      <c r="AD88" s="34">
        <v>0.93</v>
      </c>
      <c r="AE88" s="176" t="s">
        <v>226</v>
      </c>
      <c r="AF88" s="401">
        <f>AK87</f>
        <v>2</v>
      </c>
      <c r="AG88" s="176" t="s">
        <v>226</v>
      </c>
      <c r="AH88" s="180">
        <f>AK85</f>
        <v>0</v>
      </c>
      <c r="AI88" s="91"/>
      <c r="AJ88" s="175"/>
      <c r="AK88" s="34"/>
      <c r="AL88" s="34"/>
      <c r="AM88" s="94"/>
      <c r="AN88" s="94"/>
      <c r="AO88" s="57" t="str">
        <f>'Kat. 1 U-Wert'!B42</f>
        <v>Kunststofffenster, Isolierverglasung</v>
      </c>
      <c r="AP88" s="79" t="s">
        <v>329</v>
      </c>
      <c r="AQ88" s="750"/>
      <c r="AR88" s="728"/>
      <c r="AS88" s="728"/>
      <c r="AT88" s="782"/>
      <c r="AU88" s="765" t="s">
        <v>373</v>
      </c>
      <c r="AV88" s="765"/>
      <c r="AW88" s="765"/>
      <c r="AX88" s="765"/>
      <c r="AY88" s="765"/>
      <c r="AZ88" s="765"/>
      <c r="BA88" s="765"/>
      <c r="BB88" s="765"/>
      <c r="BC88" s="756"/>
    </row>
    <row r="89" spans="1:58" ht="19.5" customHeight="1" thickBot="1" x14ac:dyDescent="0.35">
      <c r="A89" s="19"/>
      <c r="U89" s="165"/>
      <c r="V89" s="21"/>
      <c r="W89" s="21"/>
      <c r="X89" s="21"/>
      <c r="Y89" s="21"/>
      <c r="Z89" s="21"/>
      <c r="AA89" s="166"/>
      <c r="AB89" s="132"/>
      <c r="AC89" s="132"/>
      <c r="AD89" s="132"/>
      <c r="AE89" s="132"/>
      <c r="AF89" s="132"/>
      <c r="AG89" s="132"/>
      <c r="AH89" s="215"/>
      <c r="AI89" s="212"/>
      <c r="AJ89" s="213"/>
      <c r="AK89" s="213"/>
      <c r="AL89" s="213"/>
      <c r="AM89" s="214"/>
      <c r="AN89" s="94"/>
      <c r="AO89" s="216"/>
      <c r="AP89" s="222"/>
      <c r="AQ89" s="789"/>
      <c r="AR89" s="737"/>
      <c r="AS89" s="737"/>
      <c r="AT89" s="816"/>
      <c r="AU89" s="766" t="s">
        <v>325</v>
      </c>
      <c r="AV89" s="766"/>
      <c r="AW89" s="766"/>
      <c r="AX89" s="766"/>
      <c r="AY89" s="766"/>
      <c r="AZ89" s="766"/>
      <c r="BA89" s="766"/>
      <c r="BB89" s="766"/>
      <c r="BC89" s="767"/>
    </row>
    <row r="90" spans="1:58" ht="19.5" customHeight="1" thickBot="1" x14ac:dyDescent="0.35">
      <c r="A90" s="19"/>
      <c r="U90" s="165"/>
      <c r="V90" s="21"/>
      <c r="W90" s="21"/>
      <c r="X90" s="21"/>
      <c r="Y90" s="21"/>
      <c r="Z90" s="21"/>
      <c r="AA90" s="166"/>
      <c r="AB90" s="260"/>
      <c r="AC90" s="260"/>
      <c r="AD90" s="260"/>
      <c r="AE90" s="260"/>
      <c r="AF90" s="260"/>
      <c r="AG90" s="260"/>
      <c r="AH90" s="260"/>
      <c r="AI90" s="295"/>
      <c r="AJ90" s="295"/>
      <c r="AK90" s="295"/>
      <c r="AL90" s="295"/>
      <c r="AM90" s="295"/>
      <c r="AN90" s="260"/>
      <c r="AO90" s="292"/>
      <c r="AP90" s="293"/>
      <c r="AQ90" s="316"/>
      <c r="AR90" s="315"/>
      <c r="AS90" s="317"/>
      <c r="AT90" s="318"/>
      <c r="AU90" s="266"/>
      <c r="AV90" s="269"/>
      <c r="AW90" s="270"/>
      <c r="AX90" s="271"/>
      <c r="AY90" s="270"/>
      <c r="AZ90" s="266"/>
      <c r="BA90" s="268"/>
      <c r="BB90" s="271"/>
      <c r="BC90" s="273"/>
    </row>
    <row r="91" spans="1:58" ht="19.5" customHeight="1" x14ac:dyDescent="0.3">
      <c r="A91" s="19"/>
      <c r="U91" s="165"/>
      <c r="V91" s="21"/>
      <c r="W91" s="21"/>
      <c r="X91" s="21"/>
      <c r="Y91" s="21"/>
      <c r="Z91" s="21"/>
      <c r="AA91" s="166"/>
      <c r="AB91" s="752" t="s">
        <v>57</v>
      </c>
      <c r="AC91" s="752"/>
      <c r="AD91" s="752"/>
      <c r="AE91" s="752"/>
      <c r="AF91" s="752"/>
      <c r="AG91" s="752"/>
      <c r="AH91" s="779"/>
      <c r="AI91" s="751" t="s">
        <v>225</v>
      </c>
      <c r="AJ91" s="752"/>
      <c r="AK91" s="752"/>
      <c r="AL91" s="752"/>
      <c r="AM91" s="779"/>
      <c r="AN91" s="128"/>
      <c r="AO91" s="749" t="s">
        <v>350</v>
      </c>
      <c r="AP91" s="799"/>
      <c r="AQ91" s="749"/>
      <c r="AR91" s="745"/>
      <c r="AS91" s="745"/>
      <c r="AT91" s="799"/>
      <c r="AU91" s="170" t="s">
        <v>107</v>
      </c>
      <c r="AV91" s="170"/>
      <c r="AW91" s="170"/>
      <c r="AX91" s="170"/>
      <c r="AY91" s="172" t="s">
        <v>239</v>
      </c>
      <c r="AZ91" s="170"/>
      <c r="BA91" s="291">
        <f>OGD!Z3</f>
        <v>77</v>
      </c>
      <c r="BB91" s="170" t="s">
        <v>54</v>
      </c>
      <c r="BC91" s="171"/>
    </row>
    <row r="92" spans="1:58" ht="19.5" customHeight="1" x14ac:dyDescent="0.3">
      <c r="A92" s="19"/>
      <c r="U92" s="165"/>
      <c r="V92" s="21"/>
      <c r="W92" s="21"/>
      <c r="X92" s="21"/>
      <c r="Y92" s="21"/>
      <c r="Z92" s="21"/>
      <c r="AA92" s="166"/>
      <c r="AB92" s="780"/>
      <c r="AC92" s="780"/>
      <c r="AD92" s="780"/>
      <c r="AE92" s="780"/>
      <c r="AF92" s="780"/>
      <c r="AG92" s="780"/>
      <c r="AH92" s="781"/>
      <c r="AI92" s="207" t="s">
        <v>236</v>
      </c>
      <c r="AJ92" s="190" t="s">
        <v>235</v>
      </c>
      <c r="AK92" s="312">
        <f>BA91</f>
        <v>77</v>
      </c>
      <c r="AL92" s="38"/>
      <c r="AM92" s="60"/>
      <c r="AN92" s="38"/>
      <c r="AO92" s="802"/>
      <c r="AP92" s="801"/>
      <c r="AQ92" s="750"/>
      <c r="AR92" s="728"/>
      <c r="AS92" s="728"/>
      <c r="AT92" s="782"/>
      <c r="AU92" s="93"/>
      <c r="AV92" s="10"/>
      <c r="AW92" s="173"/>
      <c r="AX92" s="10"/>
      <c r="AY92" s="10"/>
      <c r="AZ92" s="10"/>
      <c r="BA92" s="174"/>
      <c r="BB92" s="10"/>
      <c r="BC92" s="45"/>
    </row>
    <row r="93" spans="1:58" ht="19.5" customHeight="1" x14ac:dyDescent="0.3">
      <c r="A93" s="19"/>
      <c r="U93" s="165"/>
      <c r="V93" s="21"/>
      <c r="W93" s="21"/>
      <c r="X93" s="21"/>
      <c r="Y93" s="21"/>
      <c r="Z93" s="21"/>
      <c r="AA93" s="166"/>
      <c r="AB93" s="731" t="s">
        <v>61</v>
      </c>
      <c r="AC93" s="731"/>
      <c r="AD93" s="731"/>
      <c r="AE93" s="731"/>
      <c r="AF93" s="731"/>
      <c r="AG93" s="731"/>
      <c r="AH93" s="754"/>
      <c r="AI93" s="760" t="s">
        <v>101</v>
      </c>
      <c r="AJ93" s="761"/>
      <c r="AK93" s="761"/>
      <c r="AL93" s="761"/>
      <c r="AM93" s="762"/>
      <c r="AN93" s="37"/>
      <c r="AO93" s="68" t="s">
        <v>409</v>
      </c>
      <c r="AP93" s="186"/>
      <c r="AQ93" s="750"/>
      <c r="AR93" s="728"/>
      <c r="AS93" s="728"/>
      <c r="AT93" s="782"/>
      <c r="AU93" s="765" t="s">
        <v>108</v>
      </c>
      <c r="AV93" s="765"/>
      <c r="AW93" s="765"/>
      <c r="AX93" s="765"/>
      <c r="AY93" s="765"/>
      <c r="AZ93" s="765"/>
      <c r="BA93" s="765"/>
      <c r="BB93" s="765"/>
      <c r="BC93" s="756"/>
    </row>
    <row r="94" spans="1:58" ht="15.6" x14ac:dyDescent="0.3">
      <c r="A94" s="19"/>
      <c r="U94" s="165"/>
      <c r="V94" s="21"/>
      <c r="W94" s="21"/>
      <c r="X94" s="21"/>
      <c r="Y94" s="21"/>
      <c r="Z94" s="21"/>
      <c r="AA94" s="166"/>
      <c r="AB94" s="251" t="s">
        <v>238</v>
      </c>
      <c r="AC94" s="175" t="s">
        <v>235</v>
      </c>
      <c r="AD94" s="34"/>
      <c r="AE94" s="176"/>
      <c r="AF94" s="34" t="s">
        <v>234</v>
      </c>
      <c r="AG94" s="176" t="s">
        <v>226</v>
      </c>
      <c r="AH94" s="158" t="s">
        <v>236</v>
      </c>
      <c r="AI94" s="177" t="s">
        <v>234</v>
      </c>
      <c r="AJ94" s="252" t="s">
        <v>235</v>
      </c>
      <c r="AK94" s="252" t="s">
        <v>268</v>
      </c>
      <c r="AL94" s="34" t="s">
        <v>228</v>
      </c>
      <c r="AM94" s="158" t="s">
        <v>266</v>
      </c>
      <c r="AN94" s="34"/>
      <c r="AO94" s="48" t="s">
        <v>362</v>
      </c>
      <c r="AP94" s="79"/>
      <c r="AQ94" s="750"/>
      <c r="AR94" s="728"/>
      <c r="AS94" s="728"/>
      <c r="AT94" s="782"/>
      <c r="AU94" s="765" t="str">
        <f>'Kat. 1 U-Wert'!B12</f>
        <v>Massive Decke</v>
      </c>
      <c r="AV94" s="765"/>
      <c r="AW94" s="765"/>
      <c r="AX94" s="765"/>
      <c r="AY94" s="765"/>
      <c r="AZ94" s="765" t="s">
        <v>358</v>
      </c>
      <c r="BA94" s="765"/>
      <c r="BB94" s="765"/>
      <c r="BC94" s="815">
        <f>'Kat. 1 U-Wert'!F13</f>
        <v>0.7</v>
      </c>
    </row>
    <row r="95" spans="1:58" x14ac:dyDescent="0.3">
      <c r="A95" s="19"/>
      <c r="U95" s="165"/>
      <c r="V95" s="21"/>
      <c r="W95" s="21"/>
      <c r="X95" s="21"/>
      <c r="Y95" s="21"/>
      <c r="Z95" s="21"/>
      <c r="AA95" s="166"/>
      <c r="AB95" s="475">
        <f>AF95*AH95</f>
        <v>53.9</v>
      </c>
      <c r="AC95" s="175" t="s">
        <v>235</v>
      </c>
      <c r="AD95" s="34"/>
      <c r="AE95" s="176"/>
      <c r="AF95" s="297">
        <f>AI95</f>
        <v>0.7</v>
      </c>
      <c r="AG95" s="176" t="s">
        <v>226</v>
      </c>
      <c r="AH95" s="180">
        <f>AK92</f>
        <v>77</v>
      </c>
      <c r="AI95" s="290">
        <f>AK95/AM95</f>
        <v>0.7</v>
      </c>
      <c r="AJ95" s="252" t="s">
        <v>235</v>
      </c>
      <c r="AK95" s="211">
        <v>1</v>
      </c>
      <c r="AL95" s="34" t="s">
        <v>228</v>
      </c>
      <c r="AM95" s="289">
        <f>AU102+AW102</f>
        <v>1.4285714285714286</v>
      </c>
      <c r="AN95" s="34"/>
      <c r="AO95" s="57" t="str">
        <f>'Kat. 1 U-Wert'!B12</f>
        <v>Massive Decke</v>
      </c>
      <c r="AP95" s="79" t="s">
        <v>356</v>
      </c>
      <c r="AQ95" s="750"/>
      <c r="AR95" s="728"/>
      <c r="AS95" s="728"/>
      <c r="AT95" s="782"/>
      <c r="AU95" s="765" t="str">
        <f>'Kat. 1 U-Wert'!B13</f>
        <v>Holzbalkendecke</v>
      </c>
      <c r="AV95" s="765"/>
      <c r="AW95" s="765"/>
      <c r="AX95" s="765"/>
      <c r="AY95" s="765"/>
      <c r="AZ95" s="765" t="s">
        <v>358</v>
      </c>
      <c r="BA95" s="765"/>
      <c r="BB95" s="765"/>
      <c r="BC95" s="815"/>
    </row>
    <row r="96" spans="1:58" x14ac:dyDescent="0.3">
      <c r="A96" s="19"/>
      <c r="U96" s="165"/>
      <c r="V96" s="21"/>
      <c r="W96" s="21"/>
      <c r="X96" s="21"/>
      <c r="Y96" s="21"/>
      <c r="Z96" s="21"/>
      <c r="AA96" s="166"/>
      <c r="AB96" s="251"/>
      <c r="AC96" s="175"/>
      <c r="AD96" s="34"/>
      <c r="AE96" s="176"/>
      <c r="AF96" s="34"/>
      <c r="AG96" s="176"/>
      <c r="AH96" s="158"/>
      <c r="AI96" s="46"/>
      <c r="AJ96" s="40"/>
      <c r="AK96" s="40"/>
      <c r="AL96" s="40"/>
      <c r="AM96" s="47"/>
      <c r="AN96" s="38"/>
      <c r="AO96" s="59" t="str">
        <f>'Kat. 1 U-Wert'!B13</f>
        <v>Holzbalkendecke</v>
      </c>
      <c r="AP96" s="225" t="s">
        <v>357</v>
      </c>
      <c r="AQ96" s="750"/>
      <c r="AR96" s="728"/>
      <c r="AS96" s="728"/>
      <c r="AT96" s="782"/>
      <c r="AU96" s="765" t="s">
        <v>96</v>
      </c>
      <c r="AV96" s="765"/>
      <c r="AW96" s="765"/>
      <c r="AX96" s="765"/>
      <c r="AY96" s="178">
        <v>0</v>
      </c>
      <c r="AZ96" s="14" t="s">
        <v>230</v>
      </c>
      <c r="BA96" s="15" t="s">
        <v>232</v>
      </c>
      <c r="BB96" s="15"/>
      <c r="BC96" s="277">
        <v>3.2000000000000001E-2</v>
      </c>
    </row>
    <row r="97" spans="1:55" ht="15.6" x14ac:dyDescent="0.3">
      <c r="A97" s="19"/>
      <c r="U97" s="165"/>
      <c r="V97" s="21"/>
      <c r="W97" s="21"/>
      <c r="X97" s="21"/>
      <c r="Y97" s="21"/>
      <c r="Z97" s="21"/>
      <c r="AA97" s="166"/>
      <c r="AB97" s="251"/>
      <c r="AC97" s="175"/>
      <c r="AD97" s="34"/>
      <c r="AE97" s="176"/>
      <c r="AF97" s="34"/>
      <c r="AG97" s="176"/>
      <c r="AH97" s="158"/>
      <c r="AI97" s="19"/>
      <c r="AM97" s="20"/>
      <c r="AN97" s="34"/>
      <c r="AO97" s="57"/>
      <c r="AP97" s="79"/>
      <c r="AQ97" s="750"/>
      <c r="AR97" s="728"/>
      <c r="AS97" s="728"/>
      <c r="AT97" s="782"/>
      <c r="AU97" s="36" t="s">
        <v>405</v>
      </c>
      <c r="AV97" s="184" t="s">
        <v>235</v>
      </c>
      <c r="AW97" s="185" t="s">
        <v>262</v>
      </c>
      <c r="AX97" s="184" t="s">
        <v>233</v>
      </c>
      <c r="AY97" s="36" t="s">
        <v>227</v>
      </c>
      <c r="AZ97" s="36" t="s">
        <v>228</v>
      </c>
      <c r="BA97" s="36" t="s">
        <v>265</v>
      </c>
      <c r="BB97" s="204" t="s">
        <v>233</v>
      </c>
      <c r="BC97" s="186" t="s">
        <v>263</v>
      </c>
    </row>
    <row r="98" spans="1:55" x14ac:dyDescent="0.3">
      <c r="A98" s="19"/>
      <c r="U98" s="165"/>
      <c r="V98" s="21"/>
      <c r="W98" s="21"/>
      <c r="X98" s="21"/>
      <c r="Y98" s="21"/>
      <c r="Z98" s="21"/>
      <c r="AA98" s="166"/>
      <c r="AB98" s="251"/>
      <c r="AC98" s="175"/>
      <c r="AD98" s="34"/>
      <c r="AE98" s="176"/>
      <c r="AF98" s="34"/>
      <c r="AG98" s="176"/>
      <c r="AH98" s="158"/>
      <c r="AI98" s="19"/>
      <c r="AM98" s="20"/>
      <c r="AN98" s="34"/>
      <c r="AO98" s="57"/>
      <c r="AP98" s="79"/>
      <c r="AQ98" s="750"/>
      <c r="AR98" s="728"/>
      <c r="AS98" s="728"/>
      <c r="AT98" s="782"/>
      <c r="AU98" s="287">
        <f>AW98+(AY98/BA98)+BC98</f>
        <v>0</v>
      </c>
      <c r="AV98" s="188" t="s">
        <v>235</v>
      </c>
      <c r="AW98" s="189">
        <f>IF(AY96&gt;0,'Kat. 1 U-Wert'!C51,0)</f>
        <v>0</v>
      </c>
      <c r="AX98" s="190" t="s">
        <v>233</v>
      </c>
      <c r="AY98" s="189">
        <f>AY96</f>
        <v>0</v>
      </c>
      <c r="AZ98" s="67" t="s">
        <v>228</v>
      </c>
      <c r="BA98" s="191">
        <f>BC96</f>
        <v>3.2000000000000001E-2</v>
      </c>
      <c r="BB98" s="188" t="s">
        <v>233</v>
      </c>
      <c r="BC98" s="192">
        <f>IF(AY96&gt;0,'Kat. 1 U-Wert'!C52,0)</f>
        <v>0</v>
      </c>
    </row>
    <row r="99" spans="1:55" ht="15.6" x14ac:dyDescent="0.3">
      <c r="A99" s="19"/>
      <c r="U99" s="165"/>
      <c r="V99" s="21"/>
      <c r="W99" s="21"/>
      <c r="X99" s="21"/>
      <c r="Y99" s="21"/>
      <c r="Z99" s="21"/>
      <c r="AA99" s="166"/>
      <c r="AB99" s="251"/>
      <c r="AC99" s="175"/>
      <c r="AD99" s="34"/>
      <c r="AE99" s="176"/>
      <c r="AF99" s="34"/>
      <c r="AG99" s="176"/>
      <c r="AH99" s="158"/>
      <c r="AI99" s="19"/>
      <c r="AM99" s="20"/>
      <c r="AN99" s="34"/>
      <c r="AO99" s="57"/>
      <c r="AP99" s="79"/>
      <c r="AQ99" s="750"/>
      <c r="AR99" s="728"/>
      <c r="AS99" s="728"/>
      <c r="AT99" s="782"/>
      <c r="AU99" s="36" t="s">
        <v>404</v>
      </c>
      <c r="AV99" s="204" t="s">
        <v>235</v>
      </c>
      <c r="AW99" s="36">
        <v>1</v>
      </c>
      <c r="AX99" s="36" t="s">
        <v>228</v>
      </c>
      <c r="AY99" s="758" t="s">
        <v>358</v>
      </c>
      <c r="AZ99" s="758"/>
      <c r="BA99" s="758"/>
      <c r="BB99" s="39"/>
      <c r="BC99" s="186"/>
    </row>
    <row r="100" spans="1:55" x14ac:dyDescent="0.3">
      <c r="A100" s="19"/>
      <c r="U100" s="165"/>
      <c r="V100" s="21"/>
      <c r="W100" s="21"/>
      <c r="X100" s="21"/>
      <c r="Y100" s="21"/>
      <c r="Z100" s="21"/>
      <c r="AA100" s="166"/>
      <c r="AB100" s="251"/>
      <c r="AC100" s="175"/>
      <c r="AD100" s="34"/>
      <c r="AE100" s="176"/>
      <c r="AF100" s="34"/>
      <c r="AG100" s="176"/>
      <c r="AH100" s="158"/>
      <c r="AI100" s="19"/>
      <c r="AM100" s="20"/>
      <c r="AN100" s="34"/>
      <c r="AO100" s="57"/>
      <c r="AP100" s="79"/>
      <c r="AQ100" s="750"/>
      <c r="AR100" s="728"/>
      <c r="AS100" s="728"/>
      <c r="AT100" s="782"/>
      <c r="AU100" s="285">
        <f>AW100/AY100</f>
        <v>1.4285714285714286</v>
      </c>
      <c r="AV100" s="188" t="s">
        <v>235</v>
      </c>
      <c r="AW100" s="67">
        <v>1</v>
      </c>
      <c r="AX100" s="67" t="s">
        <v>228</v>
      </c>
      <c r="AY100" s="759">
        <f>BC94</f>
        <v>0.7</v>
      </c>
      <c r="AZ100" s="759"/>
      <c r="BA100" s="759"/>
      <c r="BB100" s="40"/>
      <c r="BC100" s="225"/>
    </row>
    <row r="101" spans="1:55" ht="15.6" x14ac:dyDescent="0.3">
      <c r="A101" s="19"/>
      <c r="U101" s="165"/>
      <c r="V101" s="21"/>
      <c r="W101" s="21"/>
      <c r="X101" s="21"/>
      <c r="Y101" s="21"/>
      <c r="Z101" s="21"/>
      <c r="AA101" s="166"/>
      <c r="AB101" s="251"/>
      <c r="AC101" s="175"/>
      <c r="AD101" s="34"/>
      <c r="AE101" s="176"/>
      <c r="AF101" s="34"/>
      <c r="AG101" s="176"/>
      <c r="AH101" s="158"/>
      <c r="AI101" s="19"/>
      <c r="AM101" s="20"/>
      <c r="AN101" s="34"/>
      <c r="AO101" s="57"/>
      <c r="AP101" s="79"/>
      <c r="AQ101" s="750"/>
      <c r="AR101" s="728"/>
      <c r="AS101" s="728"/>
      <c r="AT101" s="782"/>
      <c r="AU101" s="36" t="s">
        <v>403</v>
      </c>
      <c r="AV101" s="204" t="s">
        <v>235</v>
      </c>
      <c r="AW101" s="36"/>
      <c r="AX101" s="36"/>
      <c r="AY101" s="36" t="s">
        <v>406</v>
      </c>
      <c r="AZ101" s="284" t="s">
        <v>233</v>
      </c>
      <c r="BA101" s="36" t="s">
        <v>407</v>
      </c>
      <c r="BB101" s="39"/>
      <c r="BC101" s="186"/>
    </row>
    <row r="102" spans="1:55" ht="15" thickBot="1" x14ac:dyDescent="0.35">
      <c r="A102" s="19"/>
      <c r="U102" s="165"/>
      <c r="V102" s="21"/>
      <c r="W102" s="21"/>
      <c r="X102" s="21"/>
      <c r="Y102" s="21"/>
      <c r="Z102" s="21"/>
      <c r="AA102" s="166"/>
      <c r="AB102" s="355"/>
      <c r="AC102" s="229"/>
      <c r="AD102" s="132"/>
      <c r="AE102" s="231"/>
      <c r="AF102" s="132"/>
      <c r="AG102" s="231"/>
      <c r="AH102" s="232"/>
      <c r="AI102" s="22"/>
      <c r="AJ102" s="23"/>
      <c r="AK102" s="23"/>
      <c r="AL102" s="23"/>
      <c r="AM102" s="24"/>
      <c r="AN102" s="34"/>
      <c r="AO102" s="216"/>
      <c r="AP102" s="222"/>
      <c r="AQ102" s="789"/>
      <c r="AR102" s="737"/>
      <c r="AS102" s="737"/>
      <c r="AT102" s="816"/>
      <c r="AU102" s="319">
        <f>AY102+BA102</f>
        <v>1.4285714285714286</v>
      </c>
      <c r="AV102" s="218" t="s">
        <v>235</v>
      </c>
      <c r="AW102" s="134"/>
      <c r="AX102" s="134"/>
      <c r="AY102" s="301">
        <f>AU100</f>
        <v>1.4285714285714286</v>
      </c>
      <c r="AZ102" s="302" t="s">
        <v>233</v>
      </c>
      <c r="BA102" s="303">
        <f>AU98</f>
        <v>0</v>
      </c>
      <c r="BB102" s="23"/>
      <c r="BC102" s="222"/>
    </row>
    <row r="103" spans="1:55" ht="15" thickBot="1" x14ac:dyDescent="0.35">
      <c r="A103" s="19"/>
      <c r="U103" s="165"/>
      <c r="V103" s="21"/>
      <c r="W103" s="21"/>
      <c r="X103" s="21"/>
      <c r="Y103" s="21"/>
      <c r="Z103" s="21"/>
      <c r="AA103" s="166"/>
      <c r="AB103" s="832"/>
      <c r="AC103" s="832"/>
      <c r="AD103" s="832"/>
      <c r="AE103" s="832"/>
      <c r="AF103" s="832"/>
      <c r="AG103" s="832"/>
      <c r="AH103" s="832"/>
      <c r="AI103" s="832"/>
      <c r="AJ103" s="832"/>
      <c r="AK103" s="832"/>
      <c r="AL103" s="832"/>
      <c r="AM103" s="832"/>
      <c r="AN103" s="832"/>
      <c r="AO103" s="832"/>
      <c r="AP103" s="832"/>
      <c r="AQ103" s="833"/>
      <c r="AR103" s="833"/>
      <c r="AS103" s="833"/>
      <c r="AT103" s="833"/>
      <c r="AU103" s="832"/>
      <c r="AV103" s="832"/>
      <c r="AW103" s="832"/>
      <c r="AX103" s="832"/>
      <c r="AY103" s="832"/>
      <c r="AZ103" s="832"/>
      <c r="BA103" s="832"/>
      <c r="BB103" s="832"/>
      <c r="BC103" s="834"/>
    </row>
    <row r="104" spans="1:55" ht="30.75" customHeight="1" x14ac:dyDescent="0.3">
      <c r="A104" s="19"/>
      <c r="U104" s="165"/>
      <c r="V104" s="21"/>
      <c r="W104" s="21"/>
      <c r="X104" s="21"/>
      <c r="Y104" s="21"/>
      <c r="Z104" s="21"/>
      <c r="AA104" s="166"/>
      <c r="AB104" s="752" t="s">
        <v>58</v>
      </c>
      <c r="AC104" s="752"/>
      <c r="AD104" s="752"/>
      <c r="AE104" s="752"/>
      <c r="AF104" s="752"/>
      <c r="AG104" s="752"/>
      <c r="AH104" s="779"/>
      <c r="AI104" s="751" t="s">
        <v>225</v>
      </c>
      <c r="AJ104" s="752"/>
      <c r="AK104" s="752"/>
      <c r="AL104" s="752"/>
      <c r="AM104" s="779"/>
      <c r="AN104" s="128"/>
      <c r="AO104" s="768" t="s">
        <v>417</v>
      </c>
      <c r="AP104" s="769"/>
      <c r="AQ104" s="749"/>
      <c r="AR104" s="745"/>
      <c r="AS104" s="745"/>
      <c r="AT104" s="799"/>
      <c r="AU104" s="170" t="s">
        <v>107</v>
      </c>
      <c r="AV104" s="170"/>
      <c r="AW104" s="170"/>
      <c r="AX104" s="170"/>
      <c r="AY104" s="172" t="s">
        <v>239</v>
      </c>
      <c r="AZ104" s="170"/>
      <c r="BA104" s="313">
        <f>'AW-Fenster'!AA3</f>
        <v>212</v>
      </c>
      <c r="BB104" s="170" t="s">
        <v>54</v>
      </c>
      <c r="BC104" s="171"/>
    </row>
    <row r="105" spans="1:55" ht="25.5" customHeight="1" x14ac:dyDescent="0.3">
      <c r="A105" s="19"/>
      <c r="U105" s="165"/>
      <c r="V105" s="21"/>
      <c r="W105" s="21"/>
      <c r="X105" s="21"/>
      <c r="Y105" s="21"/>
      <c r="Z105" s="21"/>
      <c r="AA105" s="166"/>
      <c r="AB105" s="731" t="s">
        <v>61</v>
      </c>
      <c r="AC105" s="731"/>
      <c r="AD105" s="731"/>
      <c r="AE105" s="731"/>
      <c r="AF105" s="731"/>
      <c r="AG105" s="731"/>
      <c r="AH105" s="754"/>
      <c r="AI105" s="207" t="s">
        <v>341</v>
      </c>
      <c r="AJ105" s="236" t="s">
        <v>235</v>
      </c>
      <c r="AK105" s="312">
        <f>BA105</f>
        <v>169.6</v>
      </c>
      <c r="AL105" s="103"/>
      <c r="AM105" s="228"/>
      <c r="AN105" s="38"/>
      <c r="AO105" s="835"/>
      <c r="AP105" s="836"/>
      <c r="AQ105" s="750"/>
      <c r="AR105" s="728"/>
      <c r="AS105" s="728"/>
      <c r="AT105" s="782"/>
      <c r="AU105" s="93" t="s">
        <v>339</v>
      </c>
      <c r="AV105" s="10"/>
      <c r="AW105" s="173"/>
      <c r="AX105" s="10"/>
      <c r="AY105" s="10"/>
      <c r="AZ105" s="10"/>
      <c r="BA105" s="174">
        <f>BA104-BA117</f>
        <v>169.6</v>
      </c>
      <c r="BB105" s="10" t="s">
        <v>54</v>
      </c>
      <c r="BC105" s="45"/>
    </row>
    <row r="106" spans="1:55" ht="21.75" customHeight="1" x14ac:dyDescent="0.3">
      <c r="A106" s="19"/>
      <c r="U106" s="165"/>
      <c r="V106" s="21"/>
      <c r="W106" s="21"/>
      <c r="X106" s="21"/>
      <c r="Y106" s="21"/>
      <c r="Z106" s="21"/>
      <c r="AA106" s="166"/>
      <c r="AB106" s="251" t="s">
        <v>238</v>
      </c>
      <c r="AC106" s="175" t="s">
        <v>235</v>
      </c>
      <c r="AD106" s="34" t="s">
        <v>237</v>
      </c>
      <c r="AE106" s="176" t="s">
        <v>226</v>
      </c>
      <c r="AF106" s="34" t="s">
        <v>234</v>
      </c>
      <c r="AG106" s="176" t="s">
        <v>226</v>
      </c>
      <c r="AH106" s="158" t="s">
        <v>236</v>
      </c>
      <c r="AI106" s="760" t="s">
        <v>101</v>
      </c>
      <c r="AJ106" s="761"/>
      <c r="AK106" s="761"/>
      <c r="AL106" s="761"/>
      <c r="AM106" s="762"/>
      <c r="AN106" s="37"/>
      <c r="AO106" s="837" t="s">
        <v>338</v>
      </c>
      <c r="AP106" s="813"/>
      <c r="AQ106" s="750"/>
      <c r="AR106" s="728"/>
      <c r="AS106" s="728"/>
      <c r="AT106" s="782"/>
      <c r="AU106" s="812" t="s">
        <v>108</v>
      </c>
      <c r="AV106" s="812"/>
      <c r="AW106" s="812"/>
      <c r="AX106" s="812"/>
      <c r="AY106" s="812"/>
      <c r="AZ106" s="812"/>
      <c r="BA106" s="812"/>
      <c r="BB106" s="812"/>
      <c r="BC106" s="813"/>
    </row>
    <row r="107" spans="1:55" x14ac:dyDescent="0.3">
      <c r="A107" s="19"/>
      <c r="U107" s="165"/>
      <c r="V107" s="21"/>
      <c r="W107" s="21"/>
      <c r="X107" s="21"/>
      <c r="Y107" s="21"/>
      <c r="Z107" s="21"/>
      <c r="AA107" s="166"/>
      <c r="AB107" s="474">
        <f>AD107*AF107*AH107</f>
        <v>237.43999999999997</v>
      </c>
      <c r="AC107" s="175" t="s">
        <v>235</v>
      </c>
      <c r="AD107" s="34">
        <v>1</v>
      </c>
      <c r="AE107" s="176" t="s">
        <v>226</v>
      </c>
      <c r="AF107" s="390">
        <f>AI107</f>
        <v>1.4</v>
      </c>
      <c r="AG107" s="176" t="s">
        <v>226</v>
      </c>
      <c r="AH107" s="180">
        <f>AK105</f>
        <v>169.6</v>
      </c>
      <c r="AI107" s="363">
        <f>ROUND(AK107/AM107,3)</f>
        <v>1.4</v>
      </c>
      <c r="AJ107" s="175" t="s">
        <v>235</v>
      </c>
      <c r="AK107" s="283">
        <v>1</v>
      </c>
      <c r="AL107" s="34" t="s">
        <v>228</v>
      </c>
      <c r="AM107" s="226">
        <f>AU115</f>
        <v>0.7142857142857143</v>
      </c>
      <c r="AN107" s="34"/>
      <c r="AO107" s="57" t="s">
        <v>399</v>
      </c>
      <c r="AP107" s="79" t="s">
        <v>400</v>
      </c>
      <c r="AQ107" s="750"/>
      <c r="AR107" s="728"/>
      <c r="AS107" s="728"/>
      <c r="AT107" s="782"/>
      <c r="AU107" s="765" t="s">
        <v>374</v>
      </c>
      <c r="AV107" s="765"/>
      <c r="AW107" s="765"/>
      <c r="AX107" s="765"/>
      <c r="AY107" s="765"/>
      <c r="AZ107" s="765"/>
      <c r="BA107" s="765"/>
      <c r="BC107" s="20">
        <f>'Kat. 1 U-Wert'!F22</f>
        <v>1.4</v>
      </c>
    </row>
    <row r="108" spans="1:55" x14ac:dyDescent="0.3">
      <c r="A108" s="19"/>
      <c r="U108" s="165"/>
      <c r="V108" s="21"/>
      <c r="W108" s="21"/>
      <c r="X108" s="21"/>
      <c r="Y108" s="21"/>
      <c r="Z108" s="21"/>
      <c r="AA108" s="166"/>
      <c r="AB108" s="34"/>
      <c r="AC108" s="175"/>
      <c r="AD108" s="34"/>
      <c r="AE108" s="176"/>
      <c r="AF108" s="388"/>
      <c r="AG108" s="176"/>
      <c r="AH108" s="314"/>
      <c r="AI108" s="91"/>
      <c r="AJ108" s="175"/>
      <c r="AK108" s="283"/>
      <c r="AL108" s="34"/>
      <c r="AM108" s="327"/>
      <c r="AN108" s="34"/>
      <c r="AO108" s="57" t="str">
        <f>'Kat. 1 U-Wert'!B22</f>
        <v>Sonstige Wandaufbauten über 20cm Wandstärke</v>
      </c>
      <c r="AP108" s="79" t="s">
        <v>401</v>
      </c>
      <c r="AQ108" s="750"/>
      <c r="AR108" s="728"/>
      <c r="AS108" s="728"/>
      <c r="AT108" s="782"/>
      <c r="AU108" s="765"/>
      <c r="AV108" s="765"/>
      <c r="AW108" s="765"/>
      <c r="AX108" s="765"/>
      <c r="AY108" s="765"/>
      <c r="AZ108" s="765"/>
      <c r="BA108" s="765"/>
      <c r="BB108" s="765"/>
      <c r="BC108" s="44"/>
    </row>
    <row r="109" spans="1:55" x14ac:dyDescent="0.3">
      <c r="A109" s="19"/>
      <c r="U109" s="165"/>
      <c r="V109" s="21"/>
      <c r="W109" s="21"/>
      <c r="X109" s="21"/>
      <c r="Y109" s="21"/>
      <c r="Z109" s="21"/>
      <c r="AA109" s="166"/>
      <c r="AB109" s="34"/>
      <c r="AC109" s="175"/>
      <c r="AD109" s="34"/>
      <c r="AE109" s="176"/>
      <c r="AF109" s="388"/>
      <c r="AG109" s="176"/>
      <c r="AH109" s="314"/>
      <c r="AI109" s="223"/>
      <c r="AJ109" s="236"/>
      <c r="AK109" s="332"/>
      <c r="AL109" s="38"/>
      <c r="AM109" s="333"/>
      <c r="AN109" s="38"/>
      <c r="AO109" s="59" t="str">
        <f>'Kat. 1 U-Wert'!B19</f>
        <v>Wie vorstehend, jedoch 
über 30cm Wandstärke</v>
      </c>
      <c r="AP109" s="225" t="s">
        <v>402</v>
      </c>
      <c r="AQ109" s="750"/>
      <c r="AR109" s="728"/>
      <c r="AS109" s="728"/>
      <c r="AT109" s="782"/>
      <c r="AU109" s="757" t="s">
        <v>96</v>
      </c>
      <c r="AV109" s="757"/>
      <c r="AW109" s="757"/>
      <c r="AX109" s="15"/>
      <c r="AY109" s="178">
        <v>0</v>
      </c>
      <c r="AZ109" s="14" t="s">
        <v>230</v>
      </c>
      <c r="BA109" s="15" t="s">
        <v>232</v>
      </c>
      <c r="BB109" s="15"/>
      <c r="BC109" s="44">
        <v>0.35</v>
      </c>
    </row>
    <row r="110" spans="1:55" ht="15.6" x14ac:dyDescent="0.3">
      <c r="A110" s="19"/>
      <c r="U110" s="165"/>
      <c r="V110" s="21"/>
      <c r="W110" s="21"/>
      <c r="X110" s="21"/>
      <c r="Y110" s="21"/>
      <c r="Z110" s="21"/>
      <c r="AA110" s="166"/>
      <c r="AB110" s="34"/>
      <c r="AC110" s="175"/>
      <c r="AD110" s="34"/>
      <c r="AE110" s="176"/>
      <c r="AF110" s="388"/>
      <c r="AG110" s="176"/>
      <c r="AH110" s="314"/>
      <c r="AI110" s="91"/>
      <c r="AJ110" s="175"/>
      <c r="AK110" s="283"/>
      <c r="AL110" s="34"/>
      <c r="AM110" s="327"/>
      <c r="AN110" s="34"/>
      <c r="AO110" s="57"/>
      <c r="AP110" s="79"/>
      <c r="AQ110" s="750"/>
      <c r="AR110" s="728"/>
      <c r="AS110" s="728"/>
      <c r="AT110" s="782"/>
      <c r="AU110" s="36" t="s">
        <v>405</v>
      </c>
      <c r="AV110" s="184" t="s">
        <v>235</v>
      </c>
      <c r="AW110" s="185" t="s">
        <v>262</v>
      </c>
      <c r="AX110" s="184" t="s">
        <v>233</v>
      </c>
      <c r="AY110" s="36" t="s">
        <v>227</v>
      </c>
      <c r="AZ110" s="36" t="s">
        <v>228</v>
      </c>
      <c r="BA110" s="36" t="s">
        <v>265</v>
      </c>
      <c r="BB110" s="204" t="s">
        <v>233</v>
      </c>
      <c r="BC110" s="186" t="s">
        <v>263</v>
      </c>
    </row>
    <row r="111" spans="1:55" x14ac:dyDescent="0.3">
      <c r="A111" s="19"/>
      <c r="U111" s="165"/>
      <c r="V111" s="21"/>
      <c r="W111" s="21"/>
      <c r="X111" s="21"/>
      <c r="Y111" s="21"/>
      <c r="Z111" s="21"/>
      <c r="AA111" s="166"/>
      <c r="AB111" s="34"/>
      <c r="AC111" s="175"/>
      <c r="AD111" s="34"/>
      <c r="AE111" s="176"/>
      <c r="AF111" s="388"/>
      <c r="AG111" s="176"/>
      <c r="AH111" s="314"/>
      <c r="AI111" s="91"/>
      <c r="AJ111" s="175"/>
      <c r="AK111" s="283"/>
      <c r="AL111" s="34"/>
      <c r="AM111" s="327"/>
      <c r="AN111" s="34"/>
      <c r="AO111" s="57"/>
      <c r="AP111" s="79"/>
      <c r="AQ111" s="750"/>
      <c r="AR111" s="728"/>
      <c r="AS111" s="728"/>
      <c r="AT111" s="782"/>
      <c r="AU111" s="287">
        <f>AW111+(AY111/BA111)+BC111</f>
        <v>0</v>
      </c>
      <c r="AV111" s="188" t="s">
        <v>235</v>
      </c>
      <c r="AW111" s="189">
        <f>IF(AY109&gt;0,'[1]Kat. 1 U-Wert'!G154,0)</f>
        <v>0</v>
      </c>
      <c r="AX111" s="190" t="s">
        <v>233</v>
      </c>
      <c r="AY111" s="189">
        <f>AY109</f>
        <v>0</v>
      </c>
      <c r="AZ111" s="67" t="s">
        <v>228</v>
      </c>
      <c r="BA111" s="191">
        <f>BC109</f>
        <v>0.35</v>
      </c>
      <c r="BB111" s="188" t="s">
        <v>233</v>
      </c>
      <c r="BC111" s="192">
        <f>IF(AY109&gt;0,'[1]Kat. 1 U-Wert'!G155,0)</f>
        <v>0</v>
      </c>
    </row>
    <row r="112" spans="1:55" ht="15.6" x14ac:dyDescent="0.3">
      <c r="A112" s="19"/>
      <c r="U112" s="165"/>
      <c r="V112" s="21"/>
      <c r="W112" s="21"/>
      <c r="X112" s="21"/>
      <c r="Y112" s="21"/>
      <c r="Z112" s="21"/>
      <c r="AA112" s="166"/>
      <c r="AB112" s="34"/>
      <c r="AC112" s="175"/>
      <c r="AD112" s="34"/>
      <c r="AE112" s="176"/>
      <c r="AF112" s="388"/>
      <c r="AG112" s="176"/>
      <c r="AH112" s="314"/>
      <c r="AI112" s="91"/>
      <c r="AJ112" s="175"/>
      <c r="AK112" s="283"/>
      <c r="AL112" s="34"/>
      <c r="AM112" s="327"/>
      <c r="AN112" s="34"/>
      <c r="AO112" s="57"/>
      <c r="AP112" s="79"/>
      <c r="AQ112" s="750"/>
      <c r="AR112" s="728"/>
      <c r="AS112" s="728"/>
      <c r="AT112" s="782"/>
      <c r="AU112" s="36" t="s">
        <v>411</v>
      </c>
      <c r="AV112" s="204" t="s">
        <v>235</v>
      </c>
      <c r="AW112" s="36">
        <v>1</v>
      </c>
      <c r="AX112" s="36" t="s">
        <v>228</v>
      </c>
      <c r="AY112" s="758" t="s">
        <v>358</v>
      </c>
      <c r="AZ112" s="758"/>
      <c r="BA112" s="758"/>
      <c r="BB112" s="39"/>
      <c r="BC112" s="186"/>
    </row>
    <row r="113" spans="1:55" x14ac:dyDescent="0.3">
      <c r="A113" s="19"/>
      <c r="U113" s="165"/>
      <c r="V113" s="21"/>
      <c r="W113" s="21"/>
      <c r="X113" s="21"/>
      <c r="Y113" s="21"/>
      <c r="Z113" s="21"/>
      <c r="AA113" s="166"/>
      <c r="AB113" s="34"/>
      <c r="AC113" s="175"/>
      <c r="AD113" s="34"/>
      <c r="AE113" s="176"/>
      <c r="AF113" s="388"/>
      <c r="AG113" s="176"/>
      <c r="AH113" s="314"/>
      <c r="AI113" s="91"/>
      <c r="AJ113" s="175"/>
      <c r="AK113" s="283"/>
      <c r="AL113" s="34"/>
      <c r="AM113" s="327"/>
      <c r="AN113" s="34"/>
      <c r="AO113" s="57"/>
      <c r="AP113" s="79"/>
      <c r="AQ113" s="750"/>
      <c r="AR113" s="728"/>
      <c r="AS113" s="728"/>
      <c r="AT113" s="782"/>
      <c r="AU113" s="285">
        <f>AW113/AY113</f>
        <v>0.7142857142857143</v>
      </c>
      <c r="AV113" s="188" t="s">
        <v>235</v>
      </c>
      <c r="AW113" s="67">
        <v>1</v>
      </c>
      <c r="AX113" s="67" t="s">
        <v>228</v>
      </c>
      <c r="AY113" s="759">
        <f>BC107</f>
        <v>1.4</v>
      </c>
      <c r="AZ113" s="759"/>
      <c r="BA113" s="759"/>
      <c r="BB113" s="40"/>
      <c r="BC113" s="225"/>
    </row>
    <row r="114" spans="1:55" ht="15.6" x14ac:dyDescent="0.3">
      <c r="A114" s="19"/>
      <c r="U114" s="165"/>
      <c r="V114" s="21"/>
      <c r="W114" s="21"/>
      <c r="X114" s="21"/>
      <c r="Y114" s="21"/>
      <c r="Z114" s="21"/>
      <c r="AA114" s="166"/>
      <c r="AB114" s="34"/>
      <c r="AC114" s="175"/>
      <c r="AD114" s="34"/>
      <c r="AE114" s="176"/>
      <c r="AF114" s="388"/>
      <c r="AG114" s="176"/>
      <c r="AH114" s="314"/>
      <c r="AI114" s="91"/>
      <c r="AJ114" s="175"/>
      <c r="AK114" s="283"/>
      <c r="AL114" s="34"/>
      <c r="AM114" s="327"/>
      <c r="AN114" s="34"/>
      <c r="AO114" s="57"/>
      <c r="AP114" s="79"/>
      <c r="AQ114" s="750"/>
      <c r="AR114" s="728"/>
      <c r="AS114" s="728"/>
      <c r="AT114" s="782"/>
      <c r="AU114" s="36" t="s">
        <v>403</v>
      </c>
      <c r="AV114" s="204" t="s">
        <v>235</v>
      </c>
      <c r="AW114" s="36"/>
      <c r="AX114" s="36"/>
      <c r="AY114" s="36" t="s">
        <v>412</v>
      </c>
      <c r="AZ114" s="284" t="s">
        <v>233</v>
      </c>
      <c r="BA114" s="36" t="s">
        <v>407</v>
      </c>
      <c r="BB114" s="39"/>
      <c r="BC114" s="186"/>
    </row>
    <row r="115" spans="1:55" ht="15" thickBot="1" x14ac:dyDescent="0.35">
      <c r="A115" s="19"/>
      <c r="U115" s="165"/>
      <c r="V115" s="21"/>
      <c r="W115" s="21"/>
      <c r="X115" s="21"/>
      <c r="Y115" s="21"/>
      <c r="Z115" s="21"/>
      <c r="AA115" s="166"/>
      <c r="AB115" s="132"/>
      <c r="AC115" s="229"/>
      <c r="AD115" s="132"/>
      <c r="AE115" s="231"/>
      <c r="AF115" s="368"/>
      <c r="AG115" s="231"/>
      <c r="AH115" s="472"/>
      <c r="AI115" s="131"/>
      <c r="AJ115" s="229"/>
      <c r="AK115" s="364"/>
      <c r="AL115" s="132"/>
      <c r="AM115" s="365"/>
      <c r="AN115" s="34"/>
      <c r="AO115" s="216"/>
      <c r="AP115" s="222"/>
      <c r="AQ115" s="789"/>
      <c r="AR115" s="737"/>
      <c r="AS115" s="737"/>
      <c r="AT115" s="816"/>
      <c r="AU115" s="331">
        <f>AY115+BA115</f>
        <v>0.7142857142857143</v>
      </c>
      <c r="AV115" s="198" t="s">
        <v>235</v>
      </c>
      <c r="AW115" s="14"/>
      <c r="AX115" s="14"/>
      <c r="AY115" s="328">
        <f>AU113</f>
        <v>0.7142857142857143</v>
      </c>
      <c r="AZ115" s="329" t="s">
        <v>233</v>
      </c>
      <c r="BA115" s="330">
        <f>AU111</f>
        <v>0</v>
      </c>
      <c r="BC115" s="79"/>
    </row>
    <row r="116" spans="1:55" ht="15" thickBot="1" x14ac:dyDescent="0.35">
      <c r="A116" s="19"/>
      <c r="U116" s="165"/>
      <c r="V116" s="21"/>
      <c r="W116" s="21"/>
      <c r="X116" s="21"/>
      <c r="Y116" s="21"/>
      <c r="Z116" s="21"/>
      <c r="AA116" s="166"/>
      <c r="AB116" s="337"/>
      <c r="AC116" s="336"/>
      <c r="AD116" s="337"/>
      <c r="AE116" s="338"/>
      <c r="AF116" s="339"/>
      <c r="AG116" s="338"/>
      <c r="AH116" s="359"/>
      <c r="AI116" s="337"/>
      <c r="AJ116" s="336"/>
      <c r="AK116" s="344"/>
      <c r="AL116" s="337"/>
      <c r="AM116" s="345"/>
      <c r="AN116" s="337"/>
      <c r="AO116" s="340"/>
      <c r="AP116" s="341"/>
      <c r="AQ116" s="340"/>
      <c r="AR116" s="346"/>
      <c r="AS116" s="346"/>
      <c r="AT116" s="346"/>
      <c r="AU116" s="341"/>
      <c r="AV116" s="347"/>
      <c r="AW116" s="341"/>
      <c r="AX116" s="341"/>
      <c r="AY116" s="341"/>
      <c r="AZ116" s="348"/>
      <c r="BA116" s="341"/>
      <c r="BB116" s="25"/>
      <c r="BC116" s="349"/>
    </row>
    <row r="117" spans="1:55" ht="15" customHeight="1" x14ac:dyDescent="0.3">
      <c r="A117" s="19"/>
      <c r="U117" s="165"/>
      <c r="V117" s="21"/>
      <c r="W117" s="21"/>
      <c r="X117" s="21"/>
      <c r="Y117" s="21"/>
      <c r="Z117" s="21"/>
      <c r="AA117" s="166"/>
      <c r="AB117" s="752" t="s">
        <v>59</v>
      </c>
      <c r="AC117" s="752"/>
      <c r="AD117" s="752"/>
      <c r="AE117" s="752"/>
      <c r="AF117" s="752"/>
      <c r="AG117" s="752"/>
      <c r="AH117" s="779"/>
      <c r="AI117" s="752" t="s">
        <v>225</v>
      </c>
      <c r="AJ117" s="752"/>
      <c r="AK117" s="752"/>
      <c r="AL117" s="752"/>
      <c r="AM117" s="779"/>
      <c r="AN117" s="128"/>
      <c r="AO117" s="768" t="s">
        <v>413</v>
      </c>
      <c r="AP117" s="769"/>
      <c r="AQ117" s="749"/>
      <c r="AR117" s="745"/>
      <c r="AS117" s="745"/>
      <c r="AT117" s="799"/>
      <c r="AU117" s="309" t="s">
        <v>107</v>
      </c>
      <c r="AV117" s="187"/>
      <c r="AW117" s="233"/>
      <c r="AX117" s="234"/>
      <c r="AY117" s="172" t="s">
        <v>239</v>
      </c>
      <c r="AZ117" s="160"/>
      <c r="BA117" s="235">
        <f>BA104*0.2</f>
        <v>42.400000000000006</v>
      </c>
      <c r="BB117" s="170" t="s">
        <v>54</v>
      </c>
      <c r="BC117" s="161"/>
    </row>
    <row r="118" spans="1:55" ht="19.5" customHeight="1" x14ac:dyDescent="0.3">
      <c r="A118" s="19"/>
      <c r="U118" s="165"/>
      <c r="V118" s="21"/>
      <c r="W118" s="21"/>
      <c r="X118" s="21"/>
      <c r="Y118" s="21"/>
      <c r="Z118" s="21"/>
      <c r="AA118" s="166"/>
      <c r="AB118" s="731"/>
      <c r="AC118" s="731"/>
      <c r="AD118" s="731"/>
      <c r="AE118" s="731"/>
      <c r="AF118" s="731"/>
      <c r="AG118" s="731"/>
      <c r="AH118" s="754"/>
      <c r="AI118" s="304" t="s">
        <v>236</v>
      </c>
      <c r="AJ118" s="236" t="s">
        <v>235</v>
      </c>
      <c r="AK118" s="312">
        <f>ROUND(BA117,0)</f>
        <v>42</v>
      </c>
      <c r="AL118" s="103" t="s">
        <v>414</v>
      </c>
      <c r="AM118" s="228"/>
      <c r="AN118" s="38"/>
      <c r="AO118" s="770"/>
      <c r="AP118" s="771"/>
      <c r="AQ118" s="750"/>
      <c r="AR118" s="728"/>
      <c r="AS118" s="728"/>
      <c r="AT118" s="782"/>
      <c r="AU118" s="93"/>
      <c r="AV118" s="188"/>
      <c r="AW118" s="189"/>
      <c r="AX118" s="190"/>
      <c r="AY118" s="334"/>
      <c r="AZ118" s="67"/>
      <c r="BA118" s="335"/>
      <c r="BB118" s="10"/>
      <c r="BC118" s="225"/>
    </row>
    <row r="119" spans="1:55" x14ac:dyDescent="0.3">
      <c r="A119" s="19"/>
      <c r="U119" s="165"/>
      <c r="V119" s="21"/>
      <c r="W119" s="21"/>
      <c r="X119" s="21"/>
      <c r="Y119" s="21"/>
      <c r="Z119" s="21"/>
      <c r="AA119" s="166"/>
      <c r="AB119" s="731" t="s">
        <v>61</v>
      </c>
      <c r="AC119" s="731"/>
      <c r="AD119" s="731"/>
      <c r="AE119" s="731"/>
      <c r="AF119" s="731"/>
      <c r="AG119" s="731"/>
      <c r="AH119" s="754"/>
      <c r="AI119" s="731" t="s">
        <v>101</v>
      </c>
      <c r="AJ119" s="731"/>
      <c r="AK119" s="731"/>
      <c r="AL119" s="731"/>
      <c r="AM119" s="754"/>
      <c r="AN119" s="34"/>
      <c r="AO119" s="755" t="s">
        <v>338</v>
      </c>
      <c r="AP119" s="756"/>
      <c r="AQ119" s="750"/>
      <c r="AR119" s="728"/>
      <c r="AS119" s="728"/>
      <c r="AT119" s="782"/>
      <c r="AU119" s="765" t="s">
        <v>249</v>
      </c>
      <c r="AV119" s="765"/>
      <c r="AW119" s="765"/>
      <c r="AX119" s="765"/>
      <c r="AY119" s="765"/>
      <c r="AZ119" s="15"/>
      <c r="BA119" s="342" t="s">
        <v>349</v>
      </c>
      <c r="BB119" s="362">
        <f>'Kat. 1 U-Wert'!I40</f>
        <v>2.7</v>
      </c>
      <c r="BC119" s="343" t="s">
        <v>56</v>
      </c>
    </row>
    <row r="120" spans="1:55" ht="15.6" x14ac:dyDescent="0.3">
      <c r="A120" s="19"/>
      <c r="U120" s="165"/>
      <c r="V120" s="21"/>
      <c r="W120" s="21"/>
      <c r="X120" s="21"/>
      <c r="Y120" s="21"/>
      <c r="Z120" s="21"/>
      <c r="AA120" s="166"/>
      <c r="AB120" s="251" t="s">
        <v>238</v>
      </c>
      <c r="AC120" s="175" t="s">
        <v>235</v>
      </c>
      <c r="AD120" s="34" t="s">
        <v>237</v>
      </c>
      <c r="AE120" s="176" t="s">
        <v>226</v>
      </c>
      <c r="AF120" s="34" t="s">
        <v>234</v>
      </c>
      <c r="AG120" s="176" t="s">
        <v>226</v>
      </c>
      <c r="AH120" s="158" t="s">
        <v>236</v>
      </c>
      <c r="AI120" s="251" t="s">
        <v>234</v>
      </c>
      <c r="AJ120" s="175" t="s">
        <v>235</v>
      </c>
      <c r="AK120" s="298">
        <f>BB119</f>
        <v>2.7</v>
      </c>
      <c r="AL120" s="34"/>
      <c r="AM120" s="94"/>
      <c r="AN120" s="34"/>
      <c r="AO120" s="57" t="str">
        <f>'Kat. 1 U-Wert'!B40</f>
        <v>Holzfenster, zwei Scheiben</v>
      </c>
      <c r="AP120" s="79" t="s">
        <v>328</v>
      </c>
      <c r="AQ120" s="750"/>
      <c r="AR120" s="728"/>
      <c r="AS120" s="728"/>
      <c r="AT120" s="782"/>
      <c r="AU120" s="765" t="s">
        <v>372</v>
      </c>
      <c r="AV120" s="765"/>
      <c r="AW120" s="765"/>
      <c r="AX120" s="765"/>
      <c r="AY120" s="765"/>
      <c r="AZ120" s="765"/>
      <c r="BA120" s="765"/>
      <c r="BB120" s="765"/>
      <c r="BC120" s="756"/>
    </row>
    <row r="121" spans="1:55" ht="18.75" customHeight="1" x14ac:dyDescent="0.3">
      <c r="A121" s="19"/>
      <c r="U121" s="165"/>
      <c r="V121" s="21"/>
      <c r="W121" s="21"/>
      <c r="X121" s="21"/>
      <c r="Y121" s="21"/>
      <c r="Z121" s="21"/>
      <c r="AA121" s="166"/>
      <c r="AB121" s="474">
        <f>AD121*AF121*AH121</f>
        <v>113.4</v>
      </c>
      <c r="AC121" s="175" t="s">
        <v>235</v>
      </c>
      <c r="AD121" s="34">
        <v>1</v>
      </c>
      <c r="AE121" s="176" t="s">
        <v>226</v>
      </c>
      <c r="AF121" s="473">
        <f>AK120</f>
        <v>2.7</v>
      </c>
      <c r="AG121" s="176" t="s">
        <v>226</v>
      </c>
      <c r="AH121" s="180">
        <f>AK118</f>
        <v>42</v>
      </c>
      <c r="AI121" s="34"/>
      <c r="AJ121" s="34"/>
      <c r="AK121" s="34"/>
      <c r="AL121" s="34"/>
      <c r="AM121" s="94"/>
      <c r="AN121" s="34"/>
      <c r="AO121" s="57" t="str">
        <f>'Kat. 1 U-Wert'!B42</f>
        <v>Kunststofffenster, Isolierverglasung</v>
      </c>
      <c r="AP121" s="79" t="s">
        <v>329</v>
      </c>
      <c r="AQ121" s="750"/>
      <c r="AR121" s="728"/>
      <c r="AS121" s="728"/>
      <c r="AT121" s="782"/>
      <c r="AU121" s="765" t="s">
        <v>373</v>
      </c>
      <c r="AV121" s="765"/>
      <c r="AW121" s="765"/>
      <c r="AX121" s="765"/>
      <c r="AY121" s="765"/>
      <c r="AZ121" s="765"/>
      <c r="BA121" s="765"/>
      <c r="BB121" s="765"/>
      <c r="BC121" s="756"/>
    </row>
    <row r="122" spans="1:55" ht="18.75" customHeight="1" thickBot="1" x14ac:dyDescent="0.35">
      <c r="A122" s="19"/>
      <c r="U122" s="165"/>
      <c r="V122" s="21"/>
      <c r="W122" s="21"/>
      <c r="X122" s="21"/>
      <c r="Y122" s="21"/>
      <c r="Z122" s="21"/>
      <c r="AA122" s="166"/>
      <c r="AB122" s="132"/>
      <c r="AC122" s="229"/>
      <c r="AD122" s="132"/>
      <c r="AE122" s="231"/>
      <c r="AF122" s="350"/>
      <c r="AG122" s="231"/>
      <c r="AH122" s="276"/>
      <c r="AI122" s="132"/>
      <c r="AJ122" s="132"/>
      <c r="AK122" s="132"/>
      <c r="AL122" s="132"/>
      <c r="AM122" s="215"/>
      <c r="AN122" s="132"/>
      <c r="AO122" s="216"/>
      <c r="AP122" s="222"/>
      <c r="AQ122" s="789"/>
      <c r="AR122" s="737"/>
      <c r="AS122" s="737"/>
      <c r="AT122" s="816"/>
      <c r="AU122" s="766" t="s">
        <v>325</v>
      </c>
      <c r="AV122" s="766"/>
      <c r="AW122" s="766"/>
      <c r="AX122" s="766"/>
      <c r="AY122" s="766"/>
      <c r="AZ122" s="766"/>
      <c r="BA122" s="766"/>
      <c r="BB122" s="766"/>
      <c r="BC122" s="767"/>
    </row>
    <row r="123" spans="1:55" ht="18.75" customHeight="1" thickBot="1" x14ac:dyDescent="0.35">
      <c r="A123" s="19"/>
      <c r="U123" s="165"/>
      <c r="V123" s="21"/>
      <c r="W123" s="21"/>
      <c r="X123" s="21"/>
      <c r="Y123" s="21"/>
      <c r="Z123" s="21"/>
      <c r="AA123" s="166"/>
      <c r="AB123" s="337"/>
      <c r="AC123" s="336"/>
      <c r="AD123" s="337"/>
      <c r="AE123" s="338"/>
      <c r="AF123" s="351"/>
      <c r="AG123" s="338"/>
      <c r="AH123" s="360"/>
      <c r="AI123" s="337"/>
      <c r="AJ123" s="337"/>
      <c r="AK123" s="337"/>
      <c r="AL123" s="337"/>
      <c r="AM123" s="337"/>
      <c r="AN123" s="337"/>
      <c r="AO123" s="340"/>
      <c r="AP123" s="341"/>
      <c r="AQ123" s="346"/>
      <c r="AR123" s="346"/>
      <c r="AS123" s="346"/>
      <c r="AT123" s="346"/>
      <c r="AU123" s="352"/>
      <c r="AV123" s="352"/>
      <c r="AW123" s="352"/>
      <c r="AX123" s="352"/>
      <c r="AY123" s="352"/>
      <c r="AZ123" s="352"/>
      <c r="BA123" s="352"/>
      <c r="BB123" s="352"/>
      <c r="BC123" s="353"/>
    </row>
    <row r="124" spans="1:55" ht="17.25" customHeight="1" x14ac:dyDescent="0.3">
      <c r="A124" s="19"/>
      <c r="U124" s="165"/>
      <c r="V124" s="21"/>
      <c r="W124" s="21"/>
      <c r="X124" s="21"/>
      <c r="Y124" s="21"/>
      <c r="Z124" s="21"/>
      <c r="AA124" s="166"/>
      <c r="AB124" s="752" t="s">
        <v>60</v>
      </c>
      <c r="AC124" s="752"/>
      <c r="AD124" s="752"/>
      <c r="AE124" s="752"/>
      <c r="AF124" s="752"/>
      <c r="AG124" s="752"/>
      <c r="AH124" s="779"/>
      <c r="AI124" s="751" t="s">
        <v>225</v>
      </c>
      <c r="AJ124" s="752"/>
      <c r="AK124" s="752"/>
      <c r="AL124" s="752"/>
      <c r="AM124" s="779"/>
      <c r="AN124" s="128"/>
      <c r="AO124" s="768" t="s">
        <v>350</v>
      </c>
      <c r="AP124" s="769"/>
      <c r="AQ124" s="749"/>
      <c r="AR124" s="745"/>
      <c r="AS124" s="745"/>
      <c r="AT124" s="799"/>
      <c r="AU124" s="100" t="s">
        <v>107</v>
      </c>
      <c r="AV124" s="170"/>
      <c r="AW124" s="170"/>
      <c r="AX124" s="170"/>
      <c r="AY124" s="172" t="s">
        <v>239</v>
      </c>
      <c r="AZ124" s="170"/>
      <c r="BA124" s="291">
        <f>UGD!Z3</f>
        <v>77</v>
      </c>
      <c r="BB124" s="170" t="s">
        <v>54</v>
      </c>
      <c r="BC124" s="171"/>
    </row>
    <row r="125" spans="1:55" ht="17.25" customHeight="1" x14ac:dyDescent="0.3">
      <c r="A125" s="19"/>
      <c r="U125" s="165"/>
      <c r="V125" s="21"/>
      <c r="W125" s="21"/>
      <c r="X125" s="21"/>
      <c r="Y125" s="21"/>
      <c r="Z125" s="21"/>
      <c r="AA125" s="166"/>
      <c r="AB125" s="731"/>
      <c r="AC125" s="731"/>
      <c r="AD125" s="731"/>
      <c r="AE125" s="731"/>
      <c r="AF125" s="731"/>
      <c r="AG125" s="731"/>
      <c r="AH125" s="754"/>
      <c r="AI125" s="177" t="s">
        <v>341</v>
      </c>
      <c r="AJ125" s="175" t="s">
        <v>235</v>
      </c>
      <c r="AK125" s="404">
        <f>ROUND(BA124,0)</f>
        <v>77</v>
      </c>
      <c r="AL125" s="103" t="s">
        <v>414</v>
      </c>
      <c r="AM125" s="166"/>
      <c r="AN125" s="34"/>
      <c r="AO125" s="770"/>
      <c r="AP125" s="771"/>
      <c r="AQ125" s="750"/>
      <c r="AR125" s="728"/>
      <c r="AS125" s="728"/>
      <c r="AT125" s="782"/>
      <c r="AU125" s="59"/>
      <c r="AV125" s="10"/>
      <c r="AW125" s="173"/>
      <c r="AX125" s="10"/>
      <c r="AY125" s="10"/>
      <c r="AZ125" s="10"/>
      <c r="BA125" s="174"/>
      <c r="BB125" s="10"/>
      <c r="BC125" s="45"/>
    </row>
    <row r="126" spans="1:55" ht="18" customHeight="1" x14ac:dyDescent="0.3">
      <c r="A126" s="19"/>
      <c r="U126" s="165"/>
      <c r="V126" s="21"/>
      <c r="W126" s="21"/>
      <c r="X126" s="21"/>
      <c r="Y126" s="21"/>
      <c r="Z126" s="21"/>
      <c r="AA126" s="166"/>
      <c r="AB126" s="731" t="s">
        <v>61</v>
      </c>
      <c r="AC126" s="731"/>
      <c r="AD126" s="731"/>
      <c r="AE126" s="731"/>
      <c r="AF126" s="731"/>
      <c r="AG126" s="731"/>
      <c r="AH126" s="754"/>
      <c r="AI126" s="760" t="s">
        <v>101</v>
      </c>
      <c r="AJ126" s="761"/>
      <c r="AK126" s="761"/>
      <c r="AL126" s="761"/>
      <c r="AM126" s="762"/>
      <c r="AN126" s="34"/>
      <c r="AO126" s="755" t="s">
        <v>338</v>
      </c>
      <c r="AP126" s="765"/>
      <c r="AQ126" s="750"/>
      <c r="AR126" s="728"/>
      <c r="AS126" s="728"/>
      <c r="AT126" s="782"/>
      <c r="AU126" s="755" t="s">
        <v>108</v>
      </c>
      <c r="AV126" s="765"/>
      <c r="AW126" s="765"/>
      <c r="AX126" s="765"/>
      <c r="AY126" s="765"/>
      <c r="AZ126" s="765"/>
      <c r="BA126" s="765"/>
      <c r="BB126" s="765"/>
      <c r="BC126" s="756"/>
    </row>
    <row r="127" spans="1:55" ht="18" customHeight="1" x14ac:dyDescent="0.3">
      <c r="A127" s="19"/>
      <c r="U127" s="165"/>
      <c r="V127" s="21"/>
      <c r="W127" s="21"/>
      <c r="X127" s="21"/>
      <c r="Y127" s="21"/>
      <c r="Z127" s="21"/>
      <c r="AA127" s="166"/>
      <c r="AB127" s="251" t="s">
        <v>238</v>
      </c>
      <c r="AC127" s="175" t="s">
        <v>235</v>
      </c>
      <c r="AD127" s="34"/>
      <c r="AE127" s="176"/>
      <c r="AF127" s="34" t="s">
        <v>234</v>
      </c>
      <c r="AG127" s="176" t="s">
        <v>226</v>
      </c>
      <c r="AH127" s="158" t="s">
        <v>236</v>
      </c>
      <c r="AI127" s="177" t="s">
        <v>234</v>
      </c>
      <c r="AJ127" s="252" t="s">
        <v>235</v>
      </c>
      <c r="AK127" s="252" t="s">
        <v>268</v>
      </c>
      <c r="AL127" s="34" t="s">
        <v>228</v>
      </c>
      <c r="AM127" s="158" t="s">
        <v>266</v>
      </c>
      <c r="AN127" s="34"/>
      <c r="AO127" s="57" t="str">
        <f>'Kat. 1 U-Wert'!B27</f>
        <v>Kellerdecke 
Stahlbeton massiv</v>
      </c>
      <c r="AP127" s="14" t="s">
        <v>357</v>
      </c>
      <c r="AQ127" s="750"/>
      <c r="AR127" s="728"/>
      <c r="AS127" s="728"/>
      <c r="AT127" s="782"/>
      <c r="AU127" s="48" t="str">
        <f>'Kat. 1 U-Wert'!B27</f>
        <v>Kellerdecke 
Stahlbeton massiv</v>
      </c>
      <c r="AV127" s="15"/>
      <c r="AW127" s="15"/>
      <c r="AX127" s="15"/>
      <c r="AY127" s="15"/>
      <c r="AZ127" s="728" t="s">
        <v>358</v>
      </c>
      <c r="BA127" s="728"/>
      <c r="BB127" s="728"/>
      <c r="BC127" s="776">
        <f>'Kat. 1 U-Wert'!F27</f>
        <v>1</v>
      </c>
    </row>
    <row r="128" spans="1:55" ht="18" customHeight="1" x14ac:dyDescent="0.3">
      <c r="A128" s="19"/>
      <c r="U128" s="165"/>
      <c r="V128" s="21"/>
      <c r="W128" s="21"/>
      <c r="X128" s="21"/>
      <c r="Y128" s="21"/>
      <c r="Z128" s="21"/>
      <c r="AA128" s="166"/>
      <c r="AB128" s="475">
        <f>AF128*AH128</f>
        <v>77</v>
      </c>
      <c r="AC128" s="175" t="s">
        <v>235</v>
      </c>
      <c r="AD128" s="34"/>
      <c r="AE128" s="176"/>
      <c r="AF128" s="297">
        <f>AI128</f>
        <v>1</v>
      </c>
      <c r="AG128" s="176" t="s">
        <v>226</v>
      </c>
      <c r="AH128" s="158">
        <f>AK125</f>
        <v>77</v>
      </c>
      <c r="AI128" s="290">
        <f>AK128/AM128</f>
        <v>1</v>
      </c>
      <c r="AJ128" s="252" t="s">
        <v>235</v>
      </c>
      <c r="AK128" s="211">
        <v>1</v>
      </c>
      <c r="AL128" s="34" t="s">
        <v>228</v>
      </c>
      <c r="AM128" s="289">
        <f>AU131+AU133</f>
        <v>1</v>
      </c>
      <c r="AN128" s="34"/>
      <c r="AO128" s="57" t="str">
        <f>'Kat. 1 U-Wert'!B28</f>
        <v>Kellerdecke 
als Holzbalkendecke</v>
      </c>
      <c r="AP128" s="14" t="s">
        <v>356</v>
      </c>
      <c r="AQ128" s="750"/>
      <c r="AR128" s="728"/>
      <c r="AS128" s="728"/>
      <c r="AT128" s="782"/>
      <c r="AU128" s="57" t="str">
        <f>'Kat. 1 U-Wert'!B28</f>
        <v>Kellerdecke 
als Holzbalkendecke</v>
      </c>
      <c r="AV128" s="15"/>
      <c r="AW128" s="15"/>
      <c r="AX128" s="15"/>
      <c r="AY128" s="15"/>
      <c r="AZ128" s="728" t="s">
        <v>358</v>
      </c>
      <c r="BA128" s="728"/>
      <c r="BB128" s="728"/>
      <c r="BC128" s="776"/>
    </row>
    <row r="129" spans="1:55" ht="18" customHeight="1" x14ac:dyDescent="0.3">
      <c r="A129" s="19"/>
      <c r="U129" s="165"/>
      <c r="V129" s="21"/>
      <c r="W129" s="21"/>
      <c r="X129" s="21"/>
      <c r="Y129" s="21"/>
      <c r="Z129" s="21"/>
      <c r="AA129" s="166"/>
      <c r="AB129" s="34"/>
      <c r="AC129" s="34"/>
      <c r="AD129" s="34"/>
      <c r="AE129" s="34"/>
      <c r="AF129" s="34"/>
      <c r="AG129" s="34"/>
      <c r="AH129" s="94"/>
      <c r="AI129" s="177"/>
      <c r="AJ129" s="175"/>
      <c r="AK129" s="34"/>
      <c r="AL129" s="34"/>
      <c r="AM129" s="94"/>
      <c r="AN129" s="34"/>
      <c r="AO129" s="57" t="str">
        <f>'Kat. 1 U-Wert'!B29</f>
        <v>Boden gegen Erdreich,
Stahlbeton massiv</v>
      </c>
      <c r="AP129" s="14" t="s">
        <v>355</v>
      </c>
      <c r="AQ129" s="750"/>
      <c r="AR129" s="728"/>
      <c r="AS129" s="728"/>
      <c r="AT129" s="782"/>
      <c r="AU129" s="777" t="s">
        <v>96</v>
      </c>
      <c r="AV129" s="757"/>
      <c r="AW129" s="757"/>
      <c r="AX129" s="10"/>
      <c r="AY129" s="174">
        <v>0</v>
      </c>
      <c r="AZ129" s="67" t="s">
        <v>230</v>
      </c>
      <c r="BA129" s="778" t="s">
        <v>232</v>
      </c>
      <c r="BB129" s="778"/>
      <c r="BC129" s="192">
        <v>0.3</v>
      </c>
    </row>
    <row r="130" spans="1:55" ht="18" customHeight="1" x14ac:dyDescent="0.3">
      <c r="U130" s="165"/>
      <c r="V130" s="21"/>
      <c r="W130" s="21"/>
      <c r="X130" s="21"/>
      <c r="Y130" s="21"/>
      <c r="Z130" s="21"/>
      <c r="AA130" s="166"/>
      <c r="AB130" s="34"/>
      <c r="AC130" s="34"/>
      <c r="AD130" s="34"/>
      <c r="AE130" s="34"/>
      <c r="AF130" s="34"/>
      <c r="AG130" s="34"/>
      <c r="AH130" s="94"/>
      <c r="AI130" s="91"/>
      <c r="AJ130" s="34"/>
      <c r="AK130" s="34"/>
      <c r="AL130" s="34"/>
      <c r="AM130" s="94"/>
      <c r="AN130" s="34"/>
      <c r="AO130" s="56"/>
      <c r="AP130" s="14"/>
      <c r="AQ130" s="750"/>
      <c r="AR130" s="728"/>
      <c r="AS130" s="728"/>
      <c r="AT130" s="782"/>
      <c r="AU130" s="56" t="s">
        <v>405</v>
      </c>
      <c r="AV130" s="200" t="s">
        <v>235</v>
      </c>
      <c r="AW130" s="199" t="s">
        <v>262</v>
      </c>
      <c r="AX130" s="200" t="s">
        <v>233</v>
      </c>
      <c r="AY130" s="14" t="s">
        <v>227</v>
      </c>
      <c r="AZ130" s="14" t="s">
        <v>228</v>
      </c>
      <c r="BA130" s="14" t="s">
        <v>265</v>
      </c>
      <c r="BB130" s="198" t="s">
        <v>233</v>
      </c>
      <c r="BC130" s="79" t="s">
        <v>263</v>
      </c>
    </row>
    <row r="131" spans="1:55" ht="18" customHeight="1" x14ac:dyDescent="0.3">
      <c r="U131" s="165"/>
      <c r="V131" s="21"/>
      <c r="W131" s="21"/>
      <c r="X131" s="21"/>
      <c r="Y131" s="21"/>
      <c r="Z131" s="21"/>
      <c r="AA131" s="166"/>
      <c r="AB131" s="34"/>
      <c r="AC131" s="34"/>
      <c r="AD131" s="34"/>
      <c r="AE131" s="34"/>
      <c r="AF131" s="34"/>
      <c r="AG131" s="34"/>
      <c r="AH131" s="94"/>
      <c r="AI131" s="91"/>
      <c r="AJ131" s="34"/>
      <c r="AK131" s="34"/>
      <c r="AL131" s="34"/>
      <c r="AM131" s="94"/>
      <c r="AN131" s="34"/>
      <c r="AO131" s="56"/>
      <c r="AP131" s="14"/>
      <c r="AQ131" s="750"/>
      <c r="AR131" s="728"/>
      <c r="AS131" s="728"/>
      <c r="AT131" s="782"/>
      <c r="AU131" s="356">
        <f>AW131+(AY131/BA131)+BC131</f>
        <v>0</v>
      </c>
      <c r="AV131" s="188" t="s">
        <v>235</v>
      </c>
      <c r="AW131" s="189">
        <f>IF(AY129&gt;0,'[1]Kat. 1 U-Wert'!G174,0)</f>
        <v>0</v>
      </c>
      <c r="AX131" s="190" t="s">
        <v>233</v>
      </c>
      <c r="AY131" s="189">
        <f>AY129</f>
        <v>0</v>
      </c>
      <c r="AZ131" s="67" t="s">
        <v>228</v>
      </c>
      <c r="BA131" s="191">
        <f>BC129</f>
        <v>0.3</v>
      </c>
      <c r="BB131" s="188" t="s">
        <v>233</v>
      </c>
      <c r="BC131" s="192">
        <f>IF(AY129&gt;0,'[1]Kat. 1 U-Wert'!G175,0)</f>
        <v>0</v>
      </c>
    </row>
    <row r="132" spans="1:55" ht="18" customHeight="1" x14ac:dyDescent="0.3">
      <c r="U132" s="165"/>
      <c r="V132" s="21"/>
      <c r="W132" s="21"/>
      <c r="X132" s="21"/>
      <c r="Y132" s="21"/>
      <c r="Z132" s="21"/>
      <c r="AA132" s="166"/>
      <c r="AB132" s="34"/>
      <c r="AC132" s="34"/>
      <c r="AD132" s="34"/>
      <c r="AE132" s="34"/>
      <c r="AF132" s="34"/>
      <c r="AG132" s="34"/>
      <c r="AH132" s="94"/>
      <c r="AI132" s="91"/>
      <c r="AJ132" s="34"/>
      <c r="AK132" s="34"/>
      <c r="AL132" s="34"/>
      <c r="AM132" s="94"/>
      <c r="AN132" s="34"/>
      <c r="AO132" s="56"/>
      <c r="AP132" s="14"/>
      <c r="AQ132" s="750"/>
      <c r="AR132" s="728"/>
      <c r="AS132" s="728"/>
      <c r="AT132" s="782"/>
      <c r="AU132" s="248" t="s">
        <v>404</v>
      </c>
      <c r="AV132" s="204" t="s">
        <v>235</v>
      </c>
      <c r="AW132" s="36">
        <v>1</v>
      </c>
      <c r="AX132" s="36" t="s">
        <v>228</v>
      </c>
      <c r="AY132" s="758" t="s">
        <v>358</v>
      </c>
      <c r="AZ132" s="758"/>
      <c r="BA132" s="758"/>
      <c r="BB132" s="39"/>
      <c r="BC132" s="186"/>
    </row>
    <row r="133" spans="1:55" ht="18" customHeight="1" x14ac:dyDescent="0.3">
      <c r="U133" s="165"/>
      <c r="V133" s="21"/>
      <c r="W133" s="21"/>
      <c r="X133" s="21"/>
      <c r="Y133" s="21"/>
      <c r="Z133" s="21"/>
      <c r="AA133" s="166"/>
      <c r="AB133" s="34"/>
      <c r="AC133" s="34"/>
      <c r="AD133" s="34"/>
      <c r="AE133" s="34"/>
      <c r="AF133" s="34"/>
      <c r="AG133" s="34"/>
      <c r="AH133" s="94"/>
      <c r="AI133" s="91"/>
      <c r="AJ133" s="34"/>
      <c r="AK133" s="34"/>
      <c r="AL133" s="34"/>
      <c r="AM133" s="94"/>
      <c r="AN133" s="34"/>
      <c r="AO133" s="56"/>
      <c r="AP133" s="14"/>
      <c r="AQ133" s="750"/>
      <c r="AR133" s="728"/>
      <c r="AS133" s="728"/>
      <c r="AT133" s="782"/>
      <c r="AU133" s="357">
        <f>AW133/AY133</f>
        <v>1</v>
      </c>
      <c r="AV133" s="188" t="s">
        <v>235</v>
      </c>
      <c r="AW133" s="67">
        <v>1</v>
      </c>
      <c r="AX133" s="67" t="s">
        <v>228</v>
      </c>
      <c r="AY133" s="759">
        <f>BC127</f>
        <v>1</v>
      </c>
      <c r="AZ133" s="759"/>
      <c r="BA133" s="759"/>
      <c r="BB133" s="40"/>
      <c r="BC133" s="225"/>
    </row>
    <row r="134" spans="1:55" ht="18" customHeight="1" x14ac:dyDescent="0.3">
      <c r="U134" s="165"/>
      <c r="V134" s="21"/>
      <c r="W134" s="21"/>
      <c r="X134" s="21"/>
      <c r="Y134" s="21"/>
      <c r="Z134" s="21"/>
      <c r="AA134" s="166"/>
      <c r="AB134" s="34"/>
      <c r="AC134" s="34"/>
      <c r="AD134" s="34"/>
      <c r="AE134" s="34"/>
      <c r="AF134" s="34"/>
      <c r="AG134" s="34"/>
      <c r="AH134" s="94"/>
      <c r="AI134" s="91"/>
      <c r="AJ134" s="34"/>
      <c r="AK134" s="34"/>
      <c r="AL134" s="34"/>
      <c r="AM134" s="94"/>
      <c r="AN134" s="34"/>
      <c r="AO134" s="56"/>
      <c r="AP134" s="14"/>
      <c r="AQ134" s="750"/>
      <c r="AR134" s="728"/>
      <c r="AS134" s="728"/>
      <c r="AT134" s="782"/>
      <c r="AU134" s="248" t="s">
        <v>403</v>
      </c>
      <c r="AV134" s="204" t="s">
        <v>235</v>
      </c>
      <c r="AW134" s="36"/>
      <c r="AX134" s="36"/>
      <c r="AY134" s="36" t="s">
        <v>406</v>
      </c>
      <c r="AZ134" s="284" t="s">
        <v>233</v>
      </c>
      <c r="BA134" s="36" t="s">
        <v>407</v>
      </c>
      <c r="BB134" s="39"/>
      <c r="BC134" s="186"/>
    </row>
    <row r="135" spans="1:55" ht="18" customHeight="1" thickBot="1" x14ac:dyDescent="0.35">
      <c r="U135" s="165"/>
      <c r="V135" s="21"/>
      <c r="W135" s="21"/>
      <c r="X135" s="21"/>
      <c r="Y135" s="21"/>
      <c r="Z135" s="21"/>
      <c r="AA135" s="166"/>
      <c r="AB135" s="132"/>
      <c r="AC135" s="132"/>
      <c r="AD135" s="132"/>
      <c r="AE135" s="132"/>
      <c r="AF135" s="132"/>
      <c r="AG135" s="132"/>
      <c r="AH135" s="215"/>
      <c r="AI135" s="131"/>
      <c r="AJ135" s="132"/>
      <c r="AK135" s="132"/>
      <c r="AL135" s="132"/>
      <c r="AM135" s="215"/>
      <c r="AN135" s="132"/>
      <c r="AO135" s="217"/>
      <c r="AP135" s="134"/>
      <c r="AQ135" s="789"/>
      <c r="AR135" s="737"/>
      <c r="AS135" s="737"/>
      <c r="AT135" s="816"/>
      <c r="AU135" s="358">
        <f>AY135+BA135</f>
        <v>1</v>
      </c>
      <c r="AV135" s="218" t="s">
        <v>235</v>
      </c>
      <c r="AW135" s="134"/>
      <c r="AX135" s="134"/>
      <c r="AY135" s="301">
        <f>AU133</f>
        <v>1</v>
      </c>
      <c r="AZ135" s="302" t="s">
        <v>233</v>
      </c>
      <c r="BA135" s="303">
        <f>AU131</f>
        <v>0</v>
      </c>
      <c r="BB135" s="23"/>
      <c r="BC135" s="222"/>
    </row>
    <row r="136" spans="1:55" ht="15" thickBot="1" x14ac:dyDescent="0.35">
      <c r="U136" s="19"/>
      <c r="AA136" s="20"/>
      <c r="AB136" s="27"/>
      <c r="AC136" s="27"/>
      <c r="AD136" s="27"/>
      <c r="AE136" s="27"/>
      <c r="AF136" s="27"/>
      <c r="AG136" s="27"/>
      <c r="AH136" s="27"/>
      <c r="AI136" s="26"/>
      <c r="AJ136" s="26"/>
      <c r="AK136" s="26"/>
      <c r="AL136" s="26"/>
      <c r="AM136" s="26"/>
      <c r="AN136" s="27"/>
      <c r="AO136" s="27"/>
      <c r="AP136" s="27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137"/>
    </row>
    <row r="137" spans="1:55" ht="15" customHeight="1" x14ac:dyDescent="0.3">
      <c r="A137" s="19"/>
      <c r="U137" s="19"/>
      <c r="AA137" s="20"/>
      <c r="AB137" s="752" t="s">
        <v>536</v>
      </c>
      <c r="AC137" s="752"/>
      <c r="AD137" s="752"/>
      <c r="AE137" s="752"/>
      <c r="AF137" s="752"/>
      <c r="AG137" s="752"/>
      <c r="AH137" s="779"/>
      <c r="AI137" s="751" t="s">
        <v>533</v>
      </c>
      <c r="AJ137" s="752"/>
      <c r="AK137" s="752"/>
      <c r="AL137" s="752"/>
      <c r="AM137" s="779"/>
      <c r="AN137" s="17"/>
      <c r="AO137" s="308" t="s">
        <v>67</v>
      </c>
      <c r="AP137" s="160">
        <v>0.79</v>
      </c>
      <c r="AQ137" s="749"/>
      <c r="AR137" s="745"/>
      <c r="AS137" s="745"/>
      <c r="AT137" s="799"/>
      <c r="AU137" s="749"/>
      <c r="AV137" s="745"/>
      <c r="AW137" s="745"/>
      <c r="AX137" s="745"/>
      <c r="AY137" s="745"/>
      <c r="AZ137" s="745"/>
      <c r="BA137" s="745"/>
      <c r="BB137" s="745"/>
      <c r="BC137" s="799"/>
    </row>
    <row r="138" spans="1:55" ht="15.6" x14ac:dyDescent="0.35">
      <c r="A138" s="19"/>
      <c r="U138" s="19"/>
      <c r="AA138" s="20"/>
      <c r="AB138" s="818" t="s">
        <v>535</v>
      </c>
      <c r="AC138" s="818"/>
      <c r="AD138" s="818"/>
      <c r="AE138" s="818"/>
      <c r="AF138" s="818"/>
      <c r="AG138" s="818"/>
      <c r="AH138" s="819"/>
      <c r="AI138" s="730">
        <f>Berechnungen!D35</f>
        <v>0.79</v>
      </c>
      <c r="AJ138" s="731"/>
      <c r="AK138" s="731"/>
      <c r="AL138" s="731"/>
      <c r="AM138" s="754"/>
      <c r="AO138" s="58" t="s">
        <v>68</v>
      </c>
      <c r="AP138" s="14">
        <v>0.5</v>
      </c>
      <c r="AQ138" s="750"/>
      <c r="AR138" s="728"/>
      <c r="AS138" s="728"/>
      <c r="AT138" s="782"/>
      <c r="AU138" s="750"/>
      <c r="AV138" s="728"/>
      <c r="AW138" s="728"/>
      <c r="AX138" s="728"/>
      <c r="AY138" s="728"/>
      <c r="AZ138" s="728"/>
      <c r="BA138" s="728"/>
      <c r="BB138" s="728"/>
      <c r="BC138" s="782"/>
    </row>
    <row r="139" spans="1:55" ht="15" customHeight="1" x14ac:dyDescent="0.3">
      <c r="A139" s="19"/>
      <c r="U139" s="19"/>
      <c r="AA139" s="20"/>
      <c r="AB139" s="34" t="s">
        <v>494</v>
      </c>
      <c r="AC139" s="175" t="s">
        <v>235</v>
      </c>
      <c r="AD139" s="14" t="s">
        <v>490</v>
      </c>
      <c r="AE139" s="175" t="s">
        <v>226</v>
      </c>
      <c r="AF139" s="14">
        <v>0.34</v>
      </c>
      <c r="AG139" s="175" t="s">
        <v>226</v>
      </c>
      <c r="AH139" s="79" t="s">
        <v>481</v>
      </c>
      <c r="AI139" s="760" t="s">
        <v>534</v>
      </c>
      <c r="AJ139" s="761"/>
      <c r="AK139" s="761"/>
      <c r="AL139" s="761"/>
      <c r="AM139" s="762"/>
      <c r="AN139" s="21"/>
      <c r="AO139" s="68" t="s">
        <v>532</v>
      </c>
      <c r="AP139" s="36"/>
      <c r="AQ139" s="750"/>
      <c r="AR139" s="728"/>
      <c r="AS139" s="728"/>
      <c r="AT139" s="782"/>
      <c r="AU139" s="750"/>
      <c r="AV139" s="728"/>
      <c r="AW139" s="728"/>
      <c r="AX139" s="728"/>
      <c r="AY139" s="728"/>
      <c r="AZ139" s="728"/>
      <c r="BA139" s="728"/>
      <c r="BB139" s="728"/>
      <c r="BC139" s="782"/>
    </row>
    <row r="140" spans="1:55" ht="15" customHeight="1" thickBot="1" x14ac:dyDescent="0.35">
      <c r="A140" s="19"/>
      <c r="U140" s="22"/>
      <c r="V140" s="23"/>
      <c r="W140" s="23"/>
      <c r="X140" s="23"/>
      <c r="Y140" s="23"/>
      <c r="Z140" s="23"/>
      <c r="AA140" s="24"/>
      <c r="AB140" s="476">
        <f>AD140*AF140*AH140</f>
        <v>92.935600000000008</v>
      </c>
      <c r="AC140" s="229" t="s">
        <v>235</v>
      </c>
      <c r="AD140" s="350">
        <f>AI138</f>
        <v>0.79</v>
      </c>
      <c r="AE140" s="229" t="s">
        <v>226</v>
      </c>
      <c r="AF140" s="132">
        <v>0.34</v>
      </c>
      <c r="AG140" s="229" t="s">
        <v>226</v>
      </c>
      <c r="AH140" s="215">
        <f>AI140</f>
        <v>346</v>
      </c>
      <c r="AI140" s="733">
        <f>ROUNDUP(Berechnungen!B10,0)</f>
        <v>346</v>
      </c>
      <c r="AJ140" s="734"/>
      <c r="AK140" s="734"/>
      <c r="AL140" s="734"/>
      <c r="AM140" s="817"/>
      <c r="AN140" s="213"/>
      <c r="AO140" s="22"/>
      <c r="AP140" s="134"/>
      <c r="AQ140" s="789"/>
      <c r="AR140" s="737"/>
      <c r="AS140" s="737"/>
      <c r="AT140" s="816"/>
      <c r="AU140" s="789"/>
      <c r="AV140" s="737"/>
      <c r="AW140" s="737"/>
      <c r="AX140" s="737"/>
      <c r="AY140" s="737"/>
      <c r="AZ140" s="737"/>
      <c r="BA140" s="737"/>
      <c r="BB140" s="737"/>
      <c r="BC140" s="816"/>
    </row>
    <row r="141" spans="1:55" x14ac:dyDescent="0.3">
      <c r="A141" s="19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Q141" s="247"/>
      <c r="AR141" s="15"/>
      <c r="AS141" s="15"/>
      <c r="AT141" s="15"/>
    </row>
    <row r="142" spans="1:55" s="72" customFormat="1" x14ac:dyDescent="0.3">
      <c r="A142" s="19"/>
      <c r="B142"/>
      <c r="C142"/>
      <c r="D142"/>
      <c r="H142"/>
      <c r="I142"/>
      <c r="J142"/>
      <c r="K142"/>
      <c r="L142"/>
      <c r="M142"/>
      <c r="N142"/>
      <c r="O142"/>
      <c r="P142"/>
      <c r="Q142"/>
      <c r="R142"/>
      <c r="U142" s="78"/>
      <c r="V142" s="78"/>
      <c r="W142" s="78"/>
      <c r="X142" s="78"/>
      <c r="Y142" s="78"/>
      <c r="Z142" s="78"/>
      <c r="AA142" s="78"/>
      <c r="AR142" s="366"/>
      <c r="AS142" s="366"/>
      <c r="AT142" s="366"/>
    </row>
    <row r="143" spans="1:55" ht="15" hidden="1" thickBot="1" x14ac:dyDescent="0.35">
      <c r="A143" s="19"/>
      <c r="AU143" s="22"/>
      <c r="AV143" s="23"/>
      <c r="AW143" s="23"/>
      <c r="AX143" s="23"/>
      <c r="AY143" s="23"/>
      <c r="AZ143" s="23"/>
      <c r="BA143" s="23"/>
      <c r="BB143" s="23"/>
      <c r="BC143" s="24"/>
    </row>
    <row r="144" spans="1:55" ht="16.2" hidden="1" thickBot="1" x14ac:dyDescent="0.35">
      <c r="A144" s="22"/>
      <c r="B144" s="23"/>
      <c r="C144" s="23"/>
      <c r="D144" s="23"/>
      <c r="E144" s="27"/>
      <c r="F144" s="27"/>
      <c r="G144" s="2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739" t="s">
        <v>0</v>
      </c>
      <c r="AP144" s="741"/>
      <c r="AQ144" s="742" t="s">
        <v>1</v>
      </c>
      <c r="AR144" s="743"/>
      <c r="AS144" s="743"/>
      <c r="AT144" s="743"/>
      <c r="AU144" s="739" t="s">
        <v>2</v>
      </c>
      <c r="AV144" s="740"/>
      <c r="AW144" s="740"/>
      <c r="AX144" s="740"/>
      <c r="AY144" s="740"/>
      <c r="AZ144" s="740"/>
      <c r="BA144" s="740"/>
      <c r="BB144" s="740"/>
      <c r="BC144" s="741"/>
    </row>
    <row r="145" spans="1:55" ht="18" hidden="1" x14ac:dyDescent="0.35">
      <c r="A145" s="680" t="s">
        <v>70</v>
      </c>
      <c r="AO145" s="41"/>
      <c r="AP145" s="18"/>
      <c r="AU145" s="41"/>
      <c r="AV145" s="17"/>
      <c r="AW145" s="17"/>
      <c r="AX145" s="17"/>
      <c r="AY145" s="17"/>
      <c r="AZ145" s="17"/>
      <c r="BA145" s="17"/>
      <c r="BB145" s="17"/>
      <c r="BC145" s="18"/>
    </row>
    <row r="146" spans="1:55" hidden="1" x14ac:dyDescent="0.3">
      <c r="AB146" s="751" t="s">
        <v>278</v>
      </c>
      <c r="AC146" s="752"/>
      <c r="AD146" s="752"/>
      <c r="AE146" s="752"/>
      <c r="AF146" s="752"/>
      <c r="AG146" s="752"/>
      <c r="AH146" s="753"/>
      <c r="AI146" s="744" t="s">
        <v>55</v>
      </c>
      <c r="AJ146" s="745"/>
      <c r="AK146" s="745"/>
      <c r="AL146" s="745"/>
      <c r="AM146" s="746"/>
      <c r="AN146" s="129" t="s">
        <v>55</v>
      </c>
      <c r="AO146" s="126" t="s">
        <v>85</v>
      </c>
      <c r="AP146" s="124"/>
      <c r="AQ146" s="125" t="s">
        <v>280</v>
      </c>
      <c r="AR146" s="125"/>
      <c r="AS146" s="125"/>
      <c r="AT146" s="125"/>
      <c r="AU146" s="126" t="s">
        <v>72</v>
      </c>
      <c r="AV146" s="125"/>
      <c r="AW146" s="125"/>
      <c r="AX146" s="125"/>
      <c r="AY146" s="125"/>
      <c r="AZ146" s="125"/>
      <c r="BA146" s="125"/>
      <c r="BB146" s="125"/>
      <c r="BC146" s="127"/>
    </row>
    <row r="147" spans="1:55" ht="33" hidden="1" customHeight="1" x14ac:dyDescent="0.3">
      <c r="AB147" s="730" t="s">
        <v>61</v>
      </c>
      <c r="AC147" s="731"/>
      <c r="AD147" s="731"/>
      <c r="AE147" s="731"/>
      <c r="AF147" s="731"/>
      <c r="AG147" s="731"/>
      <c r="AH147" s="732"/>
      <c r="AI147" s="727" t="s">
        <v>56</v>
      </c>
      <c r="AJ147" s="728"/>
      <c r="AK147" s="728"/>
      <c r="AL147" s="728"/>
      <c r="AM147" s="729"/>
      <c r="AN147" s="130" t="s">
        <v>56</v>
      </c>
      <c r="AO147" s="97" t="s">
        <v>81</v>
      </c>
      <c r="AP147" s="123"/>
      <c r="AQ147" s="99" t="s">
        <v>86</v>
      </c>
      <c r="AR147" s="121"/>
      <c r="AS147" s="121"/>
      <c r="AT147" s="121"/>
      <c r="AU147" s="98" t="s">
        <v>3</v>
      </c>
      <c r="AV147" s="81"/>
      <c r="AW147" s="81"/>
      <c r="AX147" s="81"/>
      <c r="AY147" s="81"/>
      <c r="AZ147" s="81"/>
      <c r="BA147" s="81"/>
      <c r="BB147" s="121"/>
      <c r="BC147" s="123"/>
    </row>
    <row r="148" spans="1:55" ht="60" hidden="1" customHeight="1" thickBot="1" x14ac:dyDescent="0.35">
      <c r="AB148" s="733" t="s">
        <v>78</v>
      </c>
      <c r="AC148" s="734"/>
      <c r="AD148" s="734"/>
      <c r="AE148" s="734"/>
      <c r="AF148" s="734"/>
      <c r="AG148" s="734"/>
      <c r="AH148" s="735"/>
      <c r="AI148" s="736" t="s">
        <v>75</v>
      </c>
      <c r="AJ148" s="737"/>
      <c r="AK148" s="737"/>
      <c r="AL148" s="737"/>
      <c r="AM148" s="738"/>
      <c r="AN148" s="135" t="s">
        <v>74</v>
      </c>
      <c r="AO148" s="97" t="s">
        <v>82</v>
      </c>
      <c r="AP148" s="123"/>
      <c r="AQ148" s="99" t="s">
        <v>87</v>
      </c>
      <c r="AR148" s="121"/>
      <c r="AS148" s="121"/>
      <c r="AT148" s="121"/>
      <c r="AU148" s="98" t="s">
        <v>88</v>
      </c>
      <c r="AV148" s="81"/>
      <c r="AW148" s="81"/>
      <c r="AX148" s="81"/>
      <c r="AY148" s="81"/>
      <c r="AZ148" s="81"/>
      <c r="BA148" s="81"/>
      <c r="BB148" s="121"/>
      <c r="BC148" s="123"/>
    </row>
    <row r="149" spans="1:55" hidden="1" x14ac:dyDescent="0.3">
      <c r="AO149" s="59" t="s">
        <v>83</v>
      </c>
      <c r="AP149" s="47"/>
      <c r="AQ149" s="99" t="s">
        <v>86</v>
      </c>
      <c r="AR149" s="121"/>
      <c r="AS149" s="121"/>
      <c r="AT149" s="121"/>
      <c r="AU149" s="98" t="s">
        <v>3</v>
      </c>
      <c r="AV149" s="81"/>
      <c r="AW149" s="81"/>
      <c r="AX149" s="81"/>
      <c r="AY149" s="81"/>
      <c r="AZ149" s="81"/>
      <c r="BA149" s="81"/>
      <c r="BB149" s="121"/>
      <c r="BC149" s="123"/>
    </row>
    <row r="150" spans="1:55" hidden="1" x14ac:dyDescent="0.3">
      <c r="AO150" s="19" t="s">
        <v>80</v>
      </c>
      <c r="AP150" s="20" t="s">
        <v>76</v>
      </c>
      <c r="AQ150" t="s">
        <v>77</v>
      </c>
      <c r="AS150" t="s">
        <v>76</v>
      </c>
      <c r="AU150" s="162" t="s">
        <v>73</v>
      </c>
      <c r="AV150" s="164"/>
      <c r="AW150" s="164"/>
      <c r="AX150" s="164"/>
      <c r="AY150" s="164"/>
      <c r="AZ150" s="164"/>
      <c r="BA150" s="164"/>
      <c r="BB150" s="164"/>
      <c r="BC150" s="163"/>
    </row>
    <row r="151" spans="1:55" s="146" customFormat="1" ht="15" hidden="1" thickBot="1" x14ac:dyDescent="0.35">
      <c r="A151" s="427"/>
      <c r="B151" s="538"/>
      <c r="C151" s="538"/>
      <c r="D151" s="538"/>
      <c r="H151" s="538"/>
      <c r="I151" s="538"/>
      <c r="J151" s="538"/>
      <c r="K151" s="538"/>
      <c r="L151" s="538"/>
      <c r="M151" s="538"/>
      <c r="N151" s="538"/>
      <c r="O151" s="538"/>
      <c r="P151" s="538"/>
      <c r="Q151" s="538"/>
      <c r="R151" s="538"/>
      <c r="AN151" s="148" t="s">
        <v>288</v>
      </c>
      <c r="AO151" s="145"/>
      <c r="AP151" s="147"/>
      <c r="AU151" s="145"/>
      <c r="BC151" s="147"/>
    </row>
    <row r="152" spans="1:55" hidden="1" x14ac:dyDescent="0.3">
      <c r="AB152" s="730" t="s">
        <v>269</v>
      </c>
      <c r="AC152" s="731"/>
      <c r="AD152" s="731"/>
      <c r="AE152" s="731"/>
      <c r="AF152" s="731"/>
      <c r="AG152" s="731"/>
      <c r="AH152" s="732"/>
      <c r="AI152" s="727" t="s">
        <v>55</v>
      </c>
      <c r="AJ152" s="728"/>
      <c r="AK152" s="728"/>
      <c r="AL152" s="728"/>
      <c r="AM152" s="729"/>
      <c r="AN152" s="51"/>
      <c r="AO152" s="136" t="s">
        <v>273</v>
      </c>
      <c r="AP152" s="137"/>
      <c r="AQ152" s="26" t="s">
        <v>274</v>
      </c>
      <c r="AR152" s="26"/>
      <c r="AS152" s="26"/>
      <c r="AT152" s="137"/>
      <c r="AU152" s="136" t="s">
        <v>275</v>
      </c>
      <c r="AV152" s="26"/>
      <c r="AW152" s="26"/>
      <c r="AX152" s="26"/>
      <c r="AY152" s="26"/>
      <c r="AZ152" s="26"/>
      <c r="BA152" s="26"/>
      <c r="BB152" s="26"/>
      <c r="BC152" s="137"/>
    </row>
    <row r="153" spans="1:55" ht="30" hidden="1" customHeight="1" x14ac:dyDescent="0.3">
      <c r="AB153" s="730" t="s">
        <v>61</v>
      </c>
      <c r="AC153" s="731"/>
      <c r="AD153" s="731"/>
      <c r="AE153" s="731"/>
      <c r="AF153" s="731"/>
      <c r="AG153" s="731"/>
      <c r="AH153" s="732"/>
      <c r="AI153" s="727" t="s">
        <v>56</v>
      </c>
      <c r="AJ153" s="728"/>
      <c r="AK153" s="728"/>
      <c r="AL153" s="728"/>
      <c r="AM153" s="729"/>
      <c r="AN153" s="51"/>
      <c r="AO153" s="97" t="s">
        <v>277</v>
      </c>
      <c r="AP153" s="123"/>
      <c r="AQ153" s="99" t="s">
        <v>272</v>
      </c>
      <c r="AR153" s="121"/>
      <c r="AS153" s="121"/>
      <c r="AT153" s="123"/>
      <c r="AU153" s="122"/>
      <c r="AV153" s="121"/>
      <c r="AW153" s="121"/>
      <c r="AX153" s="121"/>
      <c r="AY153" s="121"/>
      <c r="AZ153" s="121"/>
      <c r="BA153" s="121"/>
      <c r="BB153" s="121"/>
      <c r="BC153" s="123"/>
    </row>
    <row r="154" spans="1:55" ht="30" hidden="1" customHeight="1" thickBot="1" x14ac:dyDescent="0.35">
      <c r="AB154" s="733" t="s">
        <v>78</v>
      </c>
      <c r="AC154" s="734"/>
      <c r="AD154" s="734"/>
      <c r="AE154" s="734"/>
      <c r="AF154" s="734"/>
      <c r="AG154" s="734"/>
      <c r="AH154" s="735"/>
      <c r="AI154" s="736" t="s">
        <v>75</v>
      </c>
      <c r="AJ154" s="737"/>
      <c r="AK154" s="737"/>
      <c r="AL154" s="737"/>
      <c r="AM154" s="738"/>
      <c r="AN154" s="133"/>
      <c r="AO154" s="97" t="s">
        <v>289</v>
      </c>
      <c r="AP154" s="123"/>
      <c r="AQ154" s="99" t="s">
        <v>272</v>
      </c>
      <c r="AR154" s="121"/>
      <c r="AS154" s="121"/>
      <c r="AT154" s="123"/>
      <c r="AU154" s="122"/>
      <c r="AV154" s="121"/>
      <c r="AW154" s="121"/>
      <c r="AX154" s="121"/>
      <c r="AY154" s="121"/>
      <c r="AZ154" s="121"/>
      <c r="BA154" s="121"/>
      <c r="BB154" s="121"/>
      <c r="BC154" s="123"/>
    </row>
    <row r="155" spans="1:55" ht="29.25" hidden="1" customHeight="1" x14ac:dyDescent="0.3">
      <c r="AO155" s="97" t="s">
        <v>290</v>
      </c>
      <c r="AP155" s="123"/>
      <c r="AQ155" s="99" t="s">
        <v>276</v>
      </c>
      <c r="AR155" s="121"/>
      <c r="AS155" s="121"/>
      <c r="AT155" s="123"/>
      <c r="AU155" s="98" t="s">
        <v>88</v>
      </c>
      <c r="AV155" s="121"/>
      <c r="AW155" s="121"/>
      <c r="AX155" s="121"/>
      <c r="AY155" s="121"/>
      <c r="AZ155" s="121"/>
      <c r="BA155" s="121"/>
      <c r="BB155" s="121"/>
      <c r="BC155" s="123"/>
    </row>
    <row r="156" spans="1:55" ht="30" hidden="1" customHeight="1" thickBot="1" x14ac:dyDescent="0.35">
      <c r="AO156" s="97" t="s">
        <v>83</v>
      </c>
      <c r="AP156" s="123"/>
      <c r="AQ156" s="99" t="s">
        <v>272</v>
      </c>
      <c r="AR156" s="121"/>
      <c r="AS156" s="121"/>
      <c r="AT156" s="123"/>
      <c r="AU156" s="122"/>
      <c r="AV156" s="121"/>
      <c r="AW156" s="121"/>
      <c r="AX156" s="121"/>
      <c r="AY156" s="121"/>
      <c r="AZ156" s="121"/>
      <c r="BA156" s="121"/>
      <c r="BB156" s="121"/>
      <c r="BC156" s="123"/>
    </row>
    <row r="157" spans="1:55" s="146" customFormat="1" ht="15" hidden="1" thickBot="1" x14ac:dyDescent="0.35">
      <c r="A157" s="427"/>
      <c r="B157" s="538"/>
      <c r="C157" s="538"/>
      <c r="D157" s="538"/>
      <c r="H157" s="538"/>
      <c r="I157" s="538"/>
      <c r="J157" s="538"/>
      <c r="K157" s="538"/>
      <c r="L157" s="538"/>
      <c r="M157" s="538"/>
      <c r="N157" s="538"/>
      <c r="O157" s="538"/>
      <c r="P157" s="538"/>
      <c r="Q157" s="538"/>
      <c r="R157" s="538"/>
      <c r="AN157" s="148" t="s">
        <v>288</v>
      </c>
      <c r="AO157" s="145"/>
      <c r="AP157" s="147"/>
      <c r="AT157" s="147"/>
      <c r="AU157" s="145"/>
      <c r="BC157" s="147"/>
    </row>
    <row r="158" spans="1:55" hidden="1" x14ac:dyDescent="0.3">
      <c r="AB158" s="730" t="s">
        <v>279</v>
      </c>
      <c r="AC158" s="731"/>
      <c r="AD158" s="731"/>
      <c r="AE158" s="731"/>
      <c r="AF158" s="731"/>
      <c r="AG158" s="731"/>
      <c r="AH158" s="732"/>
      <c r="AI158" s="727" t="s">
        <v>55</v>
      </c>
      <c r="AJ158" s="728"/>
      <c r="AK158" s="728"/>
      <c r="AL158" s="728"/>
      <c r="AM158" s="729"/>
      <c r="AN158" s="51" t="s">
        <v>55</v>
      </c>
      <c r="AO158" s="141" t="s">
        <v>281</v>
      </c>
      <c r="AP158" s="142"/>
      <c r="AQ158" s="143" t="s">
        <v>282</v>
      </c>
      <c r="AR158" s="144"/>
      <c r="AS158" s="144"/>
      <c r="AT158" s="142"/>
      <c r="AU158" s="143" t="s">
        <v>283</v>
      </c>
      <c r="AV158" s="144"/>
      <c r="AW158" s="144"/>
      <c r="AX158" s="144"/>
      <c r="AY158" s="144"/>
      <c r="AZ158" s="144"/>
      <c r="BA158" s="144"/>
      <c r="BB158" s="144"/>
      <c r="BC158" s="142"/>
    </row>
    <row r="159" spans="1:55" ht="30.75" hidden="1" customHeight="1" x14ac:dyDescent="0.3">
      <c r="AB159" s="730" t="s">
        <v>61</v>
      </c>
      <c r="AC159" s="731"/>
      <c r="AD159" s="731"/>
      <c r="AE159" s="731"/>
      <c r="AF159" s="731"/>
      <c r="AG159" s="731"/>
      <c r="AH159" s="732"/>
      <c r="AI159" s="727" t="s">
        <v>56</v>
      </c>
      <c r="AJ159" s="728"/>
      <c r="AK159" s="728"/>
      <c r="AL159" s="728"/>
      <c r="AM159" s="729"/>
      <c r="AN159" s="51" t="s">
        <v>56</v>
      </c>
      <c r="AO159" s="97" t="s">
        <v>284</v>
      </c>
      <c r="AP159" s="123"/>
      <c r="AQ159" s="97" t="s">
        <v>285</v>
      </c>
      <c r="AR159" s="121"/>
      <c r="AS159" s="121"/>
      <c r="AT159" s="123"/>
      <c r="AU159" s="97" t="s">
        <v>3</v>
      </c>
      <c r="AV159" s="121"/>
      <c r="AW159" s="121"/>
      <c r="AX159" s="121"/>
      <c r="AY159" s="121"/>
      <c r="AZ159" s="121"/>
      <c r="BA159" s="121"/>
      <c r="BB159" s="121"/>
      <c r="BC159" s="123"/>
    </row>
    <row r="160" spans="1:55" ht="30" hidden="1" customHeight="1" thickBot="1" x14ac:dyDescent="0.35">
      <c r="AB160" s="733" t="s">
        <v>78</v>
      </c>
      <c r="AC160" s="734"/>
      <c r="AD160" s="734"/>
      <c r="AE160" s="734"/>
      <c r="AF160" s="734"/>
      <c r="AG160" s="734"/>
      <c r="AH160" s="735"/>
      <c r="AI160" s="736" t="s">
        <v>75</v>
      </c>
      <c r="AJ160" s="737"/>
      <c r="AK160" s="737"/>
      <c r="AL160" s="737"/>
      <c r="AM160" s="738"/>
      <c r="AN160" s="133" t="s">
        <v>74</v>
      </c>
      <c r="AO160" s="97" t="s">
        <v>82</v>
      </c>
      <c r="AP160" s="123"/>
      <c r="AQ160" s="97" t="s">
        <v>286</v>
      </c>
      <c r="AR160" s="121"/>
      <c r="AS160" s="121"/>
      <c r="AT160" s="123"/>
      <c r="AU160" s="97" t="s">
        <v>88</v>
      </c>
      <c r="AV160" s="121"/>
      <c r="AW160" s="121"/>
      <c r="AX160" s="121"/>
      <c r="AY160" s="121"/>
      <c r="AZ160" s="121"/>
      <c r="BA160" s="121"/>
      <c r="BB160" s="121"/>
      <c r="BC160" s="123"/>
    </row>
    <row r="161" spans="1:55" hidden="1" x14ac:dyDescent="0.3">
      <c r="AO161" s="97" t="s">
        <v>83</v>
      </c>
      <c r="AP161" s="123"/>
      <c r="AQ161" s="97" t="s">
        <v>86</v>
      </c>
      <c r="AR161" s="121"/>
      <c r="AS161" s="121"/>
      <c r="AT161" s="123"/>
      <c r="AU161" s="42" t="s">
        <v>3</v>
      </c>
      <c r="AV161" s="40"/>
      <c r="AW161" s="40"/>
      <c r="AX161" s="40"/>
      <c r="AY161" s="40"/>
      <c r="AZ161" s="40"/>
      <c r="BA161" s="40"/>
      <c r="BB161" s="40"/>
      <c r="BC161" s="47"/>
    </row>
    <row r="162" spans="1:55" s="146" customFormat="1" ht="15.75" hidden="1" customHeight="1" thickBot="1" x14ac:dyDescent="0.35">
      <c r="A162" s="427"/>
      <c r="B162" s="538"/>
      <c r="C162" s="538"/>
      <c r="D162" s="538"/>
      <c r="H162" s="538"/>
      <c r="I162" s="538"/>
      <c r="J162" s="538"/>
      <c r="K162" s="538"/>
      <c r="L162" s="538"/>
      <c r="M162" s="538"/>
      <c r="N162" s="538"/>
      <c r="O162" s="538"/>
      <c r="P162" s="538"/>
      <c r="Q162" s="538"/>
      <c r="R162" s="538"/>
      <c r="AN162" s="148" t="s">
        <v>288</v>
      </c>
      <c r="AO162" s="145"/>
      <c r="AP162" s="147"/>
      <c r="AQ162" s="145"/>
      <c r="AT162" s="147"/>
      <c r="AU162" s="145"/>
      <c r="BC162" s="147"/>
    </row>
    <row r="163" spans="1:55" ht="15.75" hidden="1" customHeight="1" x14ac:dyDescent="0.3">
      <c r="AB163" s="730" t="s">
        <v>287</v>
      </c>
      <c r="AC163" s="731"/>
      <c r="AD163" s="731"/>
      <c r="AE163" s="731"/>
      <c r="AF163" s="731"/>
      <c r="AG163" s="731"/>
      <c r="AH163" s="732"/>
      <c r="AI163" s="727" t="s">
        <v>55</v>
      </c>
      <c r="AJ163" s="728"/>
      <c r="AK163" s="728"/>
      <c r="AL163" s="728"/>
      <c r="AM163" s="729"/>
      <c r="AN163" s="51" t="s">
        <v>55</v>
      </c>
      <c r="AO163" s="46" t="s">
        <v>281</v>
      </c>
      <c r="AP163" s="47"/>
      <c r="AQ163" s="55" t="s">
        <v>282</v>
      </c>
      <c r="AT163" s="20"/>
      <c r="AU163" s="46" t="s">
        <v>291</v>
      </c>
      <c r="AV163" s="40"/>
      <c r="AW163" s="40"/>
      <c r="AX163" s="40"/>
      <c r="AY163" s="40"/>
      <c r="AZ163" s="40"/>
      <c r="BA163" s="40"/>
      <c r="BB163" s="40"/>
      <c r="BC163" s="47"/>
    </row>
    <row r="164" spans="1:55" ht="32.25" hidden="1" customHeight="1" x14ac:dyDescent="0.3">
      <c r="AB164" s="730" t="s">
        <v>61</v>
      </c>
      <c r="AC164" s="731"/>
      <c r="AD164" s="731"/>
      <c r="AE164" s="731"/>
      <c r="AF164" s="731"/>
      <c r="AG164" s="731"/>
      <c r="AH164" s="732"/>
      <c r="AI164" s="727" t="s">
        <v>56</v>
      </c>
      <c r="AJ164" s="728"/>
      <c r="AK164" s="728"/>
      <c r="AL164" s="728"/>
      <c r="AM164" s="729"/>
      <c r="AN164" s="51" t="s">
        <v>56</v>
      </c>
      <c r="AO164" s="97" t="s">
        <v>293</v>
      </c>
      <c r="AP164" s="123"/>
      <c r="AQ164" s="97" t="s">
        <v>292</v>
      </c>
      <c r="AR164" s="121"/>
      <c r="AS164" s="121"/>
      <c r="AT164" s="123"/>
      <c r="AU164" s="98" t="s">
        <v>3</v>
      </c>
      <c r="AV164" s="121"/>
      <c r="AW164" s="121"/>
      <c r="AX164" s="121"/>
      <c r="AY164" s="121"/>
      <c r="AZ164" s="121"/>
      <c r="BA164" s="121"/>
      <c r="BB164" s="121"/>
      <c r="BC164" s="123"/>
    </row>
    <row r="165" spans="1:55" ht="34.5" hidden="1" customHeight="1" thickBot="1" x14ac:dyDescent="0.35">
      <c r="AB165" s="733" t="s">
        <v>78</v>
      </c>
      <c r="AC165" s="734"/>
      <c r="AD165" s="734"/>
      <c r="AE165" s="734"/>
      <c r="AF165" s="734"/>
      <c r="AG165" s="734"/>
      <c r="AH165" s="735"/>
      <c r="AI165" s="736" t="s">
        <v>75</v>
      </c>
      <c r="AJ165" s="737"/>
      <c r="AK165" s="737"/>
      <c r="AL165" s="737"/>
      <c r="AM165" s="738"/>
      <c r="AN165" s="133" t="s">
        <v>74</v>
      </c>
      <c r="AO165" s="97" t="s">
        <v>294</v>
      </c>
      <c r="AP165" s="123"/>
      <c r="AQ165" s="97" t="s">
        <v>295</v>
      </c>
      <c r="AR165" s="121"/>
      <c r="AS165" s="121"/>
      <c r="AT165" s="123"/>
      <c r="AU165" s="98" t="s">
        <v>88</v>
      </c>
      <c r="AV165" s="121"/>
      <c r="AW165" s="121"/>
      <c r="AX165" s="121"/>
      <c r="AY165" s="121"/>
      <c r="AZ165" s="121"/>
      <c r="BA165" s="121"/>
      <c r="BB165" s="121"/>
      <c r="BC165" s="123"/>
    </row>
    <row r="166" spans="1:55" ht="16.5" hidden="1" customHeight="1" x14ac:dyDescent="0.3">
      <c r="AO166" s="52" t="s">
        <v>84</v>
      </c>
      <c r="AP166" s="53"/>
      <c r="AQ166" s="140"/>
      <c r="AR166" s="39"/>
      <c r="AS166" s="39"/>
      <c r="AT166" s="53"/>
      <c r="AU166" s="52"/>
      <c r="AV166" s="39"/>
      <c r="AW166" s="39"/>
      <c r="AX166" s="39"/>
      <c r="AY166" s="39"/>
      <c r="AZ166" s="39"/>
      <c r="BA166" s="39"/>
      <c r="BB166" s="39"/>
      <c r="BC166" s="53"/>
    </row>
    <row r="167" spans="1:55" ht="16.5" hidden="1" customHeight="1" x14ac:dyDescent="0.3">
      <c r="AO167" s="19" t="s">
        <v>311</v>
      </c>
      <c r="AP167" s="20"/>
      <c r="AQ167" s="55"/>
      <c r="AT167" s="20"/>
      <c r="AU167" s="55"/>
      <c r="BC167" s="20"/>
    </row>
    <row r="168" spans="1:55" ht="16.5" hidden="1" customHeight="1" x14ac:dyDescent="0.3">
      <c r="AO168" s="52" t="s">
        <v>79</v>
      </c>
      <c r="AP168" s="53"/>
      <c r="AQ168" s="52"/>
      <c r="AR168" s="39"/>
      <c r="AS168" s="39"/>
      <c r="AT168" s="53"/>
      <c r="AU168" s="149"/>
      <c r="AV168" s="102"/>
      <c r="AW168" s="102"/>
      <c r="AX168" s="102"/>
      <c r="AY168" s="102"/>
      <c r="AZ168" s="102"/>
      <c r="BA168" s="102"/>
      <c r="BB168" s="102"/>
      <c r="BC168" s="150"/>
    </row>
    <row r="169" spans="1:55" ht="16.5" hidden="1" customHeight="1" thickBot="1" x14ac:dyDescent="0.35">
      <c r="AO169" s="19" t="s">
        <v>110</v>
      </c>
      <c r="AP169" s="20"/>
      <c r="AQ169" s="19" t="s">
        <v>71</v>
      </c>
      <c r="AT169" s="20"/>
      <c r="BC169" s="20"/>
    </row>
    <row r="170" spans="1:55" s="146" customFormat="1" ht="16.5" hidden="1" customHeight="1" thickBot="1" x14ac:dyDescent="0.35">
      <c r="A170" s="427"/>
      <c r="B170" s="538"/>
      <c r="C170" s="538"/>
      <c r="D170" s="538"/>
      <c r="H170" s="538"/>
      <c r="I170" s="538"/>
      <c r="J170" s="538"/>
      <c r="K170" s="538"/>
      <c r="L170" s="538"/>
      <c r="M170" s="538"/>
      <c r="N170" s="538"/>
      <c r="O170" s="538"/>
      <c r="P170" s="538"/>
      <c r="Q170" s="538"/>
      <c r="R170" s="538"/>
      <c r="AN170" s="148" t="s">
        <v>288</v>
      </c>
      <c r="AQ170" s="152"/>
    </row>
    <row r="171" spans="1:55" ht="16.5" hidden="1" customHeight="1" x14ac:dyDescent="0.3">
      <c r="AB171" s="730" t="s">
        <v>296</v>
      </c>
      <c r="AC171" s="731"/>
      <c r="AD171" s="731"/>
      <c r="AE171" s="731"/>
      <c r="AF171" s="731"/>
      <c r="AG171" s="731"/>
      <c r="AH171" s="732"/>
      <c r="AI171" s="727" t="s">
        <v>55</v>
      </c>
      <c r="AJ171" s="728"/>
      <c r="AK171" s="728"/>
      <c r="AL171" s="728"/>
      <c r="AM171" s="729"/>
      <c r="AN171" s="51"/>
      <c r="AO171" s="138" t="s">
        <v>270</v>
      </c>
      <c r="AP171" s="25"/>
      <c r="AQ171" s="138" t="s">
        <v>271</v>
      </c>
      <c r="AR171" s="25"/>
      <c r="AS171" s="25"/>
      <c r="AT171" s="139"/>
      <c r="AU171" s="138" t="s">
        <v>275</v>
      </c>
      <c r="AV171" s="25"/>
      <c r="AW171" s="25"/>
      <c r="AX171" s="25"/>
      <c r="AY171" s="25"/>
      <c r="AZ171" s="25"/>
      <c r="BA171" s="25"/>
      <c r="BB171" s="25"/>
      <c r="BC171" s="139"/>
    </row>
    <row r="172" spans="1:55" ht="34.5" hidden="1" customHeight="1" x14ac:dyDescent="0.3">
      <c r="AB172" s="730" t="s">
        <v>61</v>
      </c>
      <c r="AC172" s="731"/>
      <c r="AD172" s="731"/>
      <c r="AE172" s="731"/>
      <c r="AF172" s="731"/>
      <c r="AG172" s="731"/>
      <c r="AH172" s="732"/>
      <c r="AI172" s="727" t="s">
        <v>56</v>
      </c>
      <c r="AJ172" s="728"/>
      <c r="AK172" s="728"/>
      <c r="AL172" s="728"/>
      <c r="AM172" s="729"/>
      <c r="AN172" s="51"/>
      <c r="AO172" s="97" t="s">
        <v>277</v>
      </c>
      <c r="AP172" s="121"/>
      <c r="AQ172" s="97" t="s">
        <v>297</v>
      </c>
      <c r="AR172" s="121"/>
      <c r="AS172" s="121"/>
      <c r="AT172" s="123"/>
      <c r="AU172" s="122"/>
      <c r="AV172" s="121"/>
      <c r="AW172" s="121"/>
      <c r="AX172" s="121"/>
      <c r="AY172" s="121"/>
      <c r="AZ172" s="121"/>
      <c r="BA172" s="121"/>
      <c r="BB172" s="121"/>
      <c r="BC172" s="123"/>
    </row>
    <row r="173" spans="1:55" ht="32.25" hidden="1" customHeight="1" thickBot="1" x14ac:dyDescent="0.35">
      <c r="AB173" s="733" t="s">
        <v>78</v>
      </c>
      <c r="AC173" s="734"/>
      <c r="AD173" s="734"/>
      <c r="AE173" s="734"/>
      <c r="AF173" s="734"/>
      <c r="AG173" s="734"/>
      <c r="AH173" s="735"/>
      <c r="AI173" s="736" t="s">
        <v>75</v>
      </c>
      <c r="AJ173" s="737"/>
      <c r="AK173" s="737"/>
      <c r="AL173" s="737"/>
      <c r="AM173" s="738"/>
      <c r="AN173" s="133"/>
      <c r="AO173" s="97" t="s">
        <v>289</v>
      </c>
      <c r="AP173" s="121"/>
      <c r="AQ173" s="97" t="s">
        <v>297</v>
      </c>
      <c r="AR173" s="121"/>
      <c r="AS173" s="121"/>
      <c r="AT173" s="123"/>
      <c r="AU173" s="122"/>
      <c r="AV173" s="121"/>
      <c r="AW173" s="121"/>
      <c r="AX173" s="121"/>
      <c r="AY173" s="121"/>
      <c r="AZ173" s="121"/>
      <c r="BA173" s="121"/>
      <c r="BB173" s="121"/>
      <c r="BC173" s="123"/>
    </row>
    <row r="174" spans="1:55" ht="33" hidden="1" customHeight="1" x14ac:dyDescent="0.3">
      <c r="AO174" s="97" t="s">
        <v>290</v>
      </c>
      <c r="AP174" s="121"/>
      <c r="AQ174" s="97" t="s">
        <v>298</v>
      </c>
      <c r="AR174" s="121"/>
      <c r="AS174" s="121"/>
      <c r="AT174" s="123"/>
      <c r="AU174" s="98" t="s">
        <v>88</v>
      </c>
      <c r="AV174" s="121"/>
      <c r="AW174" s="121"/>
      <c r="AX174" s="121"/>
      <c r="AY174" s="121"/>
      <c r="AZ174" s="121"/>
      <c r="BA174" s="121"/>
      <c r="BB174" s="121"/>
      <c r="BC174" s="123"/>
    </row>
    <row r="175" spans="1:55" ht="33" hidden="1" customHeight="1" thickBot="1" x14ac:dyDescent="0.35">
      <c r="AO175" s="97" t="s">
        <v>83</v>
      </c>
      <c r="AP175" s="121"/>
      <c r="AQ175" s="97" t="s">
        <v>297</v>
      </c>
      <c r="AR175" s="121"/>
      <c r="AS175" s="121"/>
      <c r="AT175" s="123"/>
      <c r="AU175" s="122"/>
      <c r="AV175" s="121"/>
      <c r="AW175" s="121"/>
      <c r="AX175" s="121"/>
      <c r="AY175" s="121"/>
      <c r="AZ175" s="121"/>
      <c r="BA175" s="121"/>
      <c r="BB175" s="121"/>
      <c r="BC175" s="123"/>
    </row>
    <row r="176" spans="1:55" s="146" customFormat="1" ht="15.75" hidden="1" customHeight="1" thickBot="1" x14ac:dyDescent="0.35">
      <c r="A176" s="427"/>
      <c r="B176" s="538"/>
      <c r="C176" s="538"/>
      <c r="D176" s="538"/>
      <c r="H176" s="538"/>
      <c r="I176" s="538"/>
      <c r="J176" s="538"/>
      <c r="K176" s="538"/>
      <c r="L176" s="538"/>
      <c r="M176" s="538"/>
      <c r="N176" s="538"/>
      <c r="O176" s="538"/>
      <c r="P176" s="538"/>
      <c r="Q176" s="538"/>
      <c r="R176" s="538"/>
      <c r="AN176" s="148" t="s">
        <v>288</v>
      </c>
      <c r="AQ176" s="152"/>
    </row>
    <row r="177" spans="1:55" ht="15.75" hidden="1" customHeight="1" x14ac:dyDescent="0.3">
      <c r="AB177" s="730" t="s">
        <v>299</v>
      </c>
      <c r="AC177" s="731"/>
      <c r="AD177" s="731"/>
      <c r="AE177" s="731"/>
      <c r="AF177" s="731"/>
      <c r="AG177" s="731"/>
      <c r="AH177" s="732"/>
      <c r="AI177" s="727" t="s">
        <v>55</v>
      </c>
      <c r="AJ177" s="728"/>
      <c r="AK177" s="728"/>
      <c r="AL177" s="728"/>
      <c r="AM177" s="729"/>
      <c r="AN177" s="51" t="s">
        <v>55</v>
      </c>
      <c r="AO177" s="153" t="s">
        <v>281</v>
      </c>
      <c r="AP177" s="154"/>
      <c r="AQ177" s="155" t="s">
        <v>282</v>
      </c>
      <c r="AR177" s="17"/>
      <c r="AS177" s="17"/>
      <c r="AT177" s="18"/>
      <c r="AU177" s="153" t="s">
        <v>300</v>
      </c>
      <c r="AV177" s="156"/>
      <c r="AW177" s="156"/>
      <c r="AX177" s="156"/>
      <c r="AY177" s="156"/>
      <c r="AZ177" s="156"/>
      <c r="BA177" s="156"/>
      <c r="BB177" s="156"/>
      <c r="BC177" s="154"/>
    </row>
    <row r="178" spans="1:55" ht="15.75" hidden="1" customHeight="1" x14ac:dyDescent="0.3">
      <c r="AB178" s="730" t="s">
        <v>61</v>
      </c>
      <c r="AC178" s="731"/>
      <c r="AD178" s="731"/>
      <c r="AE178" s="731"/>
      <c r="AF178" s="731"/>
      <c r="AG178" s="731"/>
      <c r="AH178" s="732"/>
      <c r="AI178" s="727" t="s">
        <v>56</v>
      </c>
      <c r="AJ178" s="728"/>
      <c r="AK178" s="728"/>
      <c r="AL178" s="728"/>
      <c r="AM178" s="729"/>
      <c r="AN178" s="51" t="s">
        <v>56</v>
      </c>
      <c r="AO178" s="97" t="s">
        <v>301</v>
      </c>
      <c r="AP178" s="123"/>
      <c r="AQ178" s="151" t="s">
        <v>303</v>
      </c>
      <c r="AR178" s="121"/>
      <c r="AS178" s="121"/>
      <c r="AT178" s="123"/>
      <c r="AU178" s="122" t="s">
        <v>3</v>
      </c>
      <c r="AV178" s="121"/>
      <c r="AW178" s="121"/>
      <c r="AX178" s="121"/>
      <c r="AY178" s="121"/>
      <c r="AZ178" s="121"/>
      <c r="BA178" s="121"/>
      <c r="BB178" s="121"/>
      <c r="BC178" s="123"/>
    </row>
    <row r="179" spans="1:55" ht="15.75" hidden="1" customHeight="1" thickBot="1" x14ac:dyDescent="0.35">
      <c r="AB179" s="733" t="s">
        <v>78</v>
      </c>
      <c r="AC179" s="734"/>
      <c r="AD179" s="734"/>
      <c r="AE179" s="734"/>
      <c r="AF179" s="734"/>
      <c r="AG179" s="734"/>
      <c r="AH179" s="735"/>
      <c r="AI179" s="736" t="s">
        <v>75</v>
      </c>
      <c r="AJ179" s="737"/>
      <c r="AK179" s="737"/>
      <c r="AL179" s="737"/>
      <c r="AM179" s="738"/>
      <c r="AN179" s="133" t="s">
        <v>74</v>
      </c>
      <c r="AO179" s="97" t="s">
        <v>302</v>
      </c>
      <c r="AP179" s="123"/>
      <c r="AQ179" s="97" t="s">
        <v>304</v>
      </c>
      <c r="AR179" s="121"/>
      <c r="AS179" s="121"/>
      <c r="AT179" s="123"/>
      <c r="AU179" s="122" t="s">
        <v>88</v>
      </c>
      <c r="AV179" s="121"/>
      <c r="AW179" s="121"/>
      <c r="AX179" s="121"/>
      <c r="AY179" s="121"/>
      <c r="AZ179" s="121"/>
      <c r="BA179" s="121"/>
      <c r="BB179" s="121"/>
      <c r="BC179" s="123"/>
    </row>
    <row r="180" spans="1:55" ht="15.75" hidden="1" customHeight="1" x14ac:dyDescent="0.3">
      <c r="AO180" s="52" t="s">
        <v>84</v>
      </c>
      <c r="AP180" s="53"/>
      <c r="AQ180" s="140"/>
      <c r="AR180" s="39"/>
      <c r="AS180" s="39"/>
      <c r="AT180" s="53"/>
      <c r="AU180" s="52"/>
      <c r="AV180" s="39"/>
      <c r="AW180" s="39"/>
      <c r="AX180" s="39"/>
      <c r="AY180" s="39"/>
      <c r="AZ180" s="39"/>
      <c r="BA180" s="39"/>
      <c r="BB180" s="39"/>
      <c r="BC180" s="53"/>
    </row>
    <row r="181" spans="1:55" ht="15.75" hidden="1" customHeight="1" x14ac:dyDescent="0.3">
      <c r="AO181" s="19" t="s">
        <v>305</v>
      </c>
      <c r="AP181" s="20"/>
      <c r="AQ181" s="55"/>
      <c r="AT181" s="20"/>
      <c r="AU181" s="55"/>
      <c r="BC181" s="20"/>
    </row>
    <row r="182" spans="1:55" ht="15.75" hidden="1" customHeight="1" x14ac:dyDescent="0.3">
      <c r="AO182" s="52" t="s">
        <v>79</v>
      </c>
      <c r="AP182" s="53"/>
      <c r="AQ182" s="52"/>
      <c r="AR182" s="39"/>
      <c r="AS182" s="39"/>
      <c r="AT182" s="53"/>
      <c r="AU182" s="149"/>
      <c r="AV182" s="102"/>
      <c r="AW182" s="102"/>
      <c r="AX182" s="102"/>
      <c r="AY182" s="102"/>
      <c r="AZ182" s="102"/>
      <c r="BA182" s="102"/>
      <c r="BB182" s="102"/>
      <c r="BC182" s="150"/>
    </row>
    <row r="183" spans="1:55" ht="15.75" hidden="1" customHeight="1" thickBot="1" x14ac:dyDescent="0.35">
      <c r="AO183" s="22" t="s">
        <v>110</v>
      </c>
      <c r="AP183" s="24"/>
      <c r="AQ183" s="22" t="s">
        <v>71</v>
      </c>
      <c r="AR183" s="23"/>
      <c r="AS183" s="23"/>
      <c r="AT183" s="24"/>
      <c r="AU183" s="22"/>
      <c r="AV183" s="23"/>
      <c r="AW183" s="23"/>
      <c r="AX183" s="23"/>
      <c r="AY183" s="23"/>
      <c r="AZ183" s="23"/>
      <c r="BA183" s="23"/>
      <c r="BB183" s="23"/>
      <c r="BC183" s="24"/>
    </row>
    <row r="184" spans="1:55" ht="18" hidden="1" x14ac:dyDescent="0.35">
      <c r="A184" s="680" t="s">
        <v>70</v>
      </c>
      <c r="B184" s="17"/>
      <c r="C184" s="17"/>
      <c r="D184" s="17"/>
      <c r="E184" s="25"/>
      <c r="F184" s="25"/>
      <c r="G184" s="25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</row>
    <row r="185" spans="1:55" x14ac:dyDescent="0.3">
      <c r="A185" s="19"/>
    </row>
    <row r="186" spans="1:55" x14ac:dyDescent="0.3">
      <c r="A186" s="19"/>
    </row>
  </sheetData>
  <mergeCells count="211">
    <mergeCell ref="B70:D70"/>
    <mergeCell ref="H57:L57"/>
    <mergeCell ref="H61:L61"/>
    <mergeCell ref="M57:S57"/>
    <mergeCell ref="B54:D54"/>
    <mergeCell ref="B58:D58"/>
    <mergeCell ref="B62:D62"/>
    <mergeCell ref="B65:D65"/>
    <mergeCell ref="B67:D67"/>
    <mergeCell ref="H66:K66"/>
    <mergeCell ref="T53:T54"/>
    <mergeCell ref="U51:BC51"/>
    <mergeCell ref="U55:BC55"/>
    <mergeCell ref="U59:BC59"/>
    <mergeCell ref="T64:BC64"/>
    <mergeCell ref="M61:S61"/>
    <mergeCell ref="AU57:AX57"/>
    <mergeCell ref="AY57:AZ57"/>
    <mergeCell ref="BA57:BB57"/>
    <mergeCell ref="AY53:AZ53"/>
    <mergeCell ref="AY54:AZ54"/>
    <mergeCell ref="BA53:BB53"/>
    <mergeCell ref="BA54:BB54"/>
    <mergeCell ref="BA60:BB60"/>
    <mergeCell ref="AU61:AX63"/>
    <mergeCell ref="AY61:AZ63"/>
    <mergeCell ref="BA61:BB63"/>
    <mergeCell ref="BC61:BC63"/>
    <mergeCell ref="BA52:BB52"/>
    <mergeCell ref="AY52:AZ52"/>
    <mergeCell ref="AU52:AX52"/>
    <mergeCell ref="AI56:AM56"/>
    <mergeCell ref="AI57:AM57"/>
    <mergeCell ref="AI60:AM60"/>
    <mergeCell ref="U65:AA67"/>
    <mergeCell ref="AB65:AH67"/>
    <mergeCell ref="T68:BC68"/>
    <mergeCell ref="AQ72:AT82"/>
    <mergeCell ref="AQ84:AT89"/>
    <mergeCell ref="AQ91:AT102"/>
    <mergeCell ref="AQ104:AT115"/>
    <mergeCell ref="AI69:AN70"/>
    <mergeCell ref="AB105:AH105"/>
    <mergeCell ref="AB103:BC103"/>
    <mergeCell ref="AO104:AP105"/>
    <mergeCell ref="AO106:AP106"/>
    <mergeCell ref="AU86:AY86"/>
    <mergeCell ref="AU87:BC87"/>
    <mergeCell ref="AO65:AP67"/>
    <mergeCell ref="AI65:AN67"/>
    <mergeCell ref="AQ65:AT67"/>
    <mergeCell ref="AU65:BC67"/>
    <mergeCell ref="AU107:BA107"/>
    <mergeCell ref="AU108:AW108"/>
    <mergeCell ref="AX108:AZ108"/>
    <mergeCell ref="BA108:BB108"/>
    <mergeCell ref="U69:AA69"/>
    <mergeCell ref="U77:AA77"/>
    <mergeCell ref="AI54:AM54"/>
    <mergeCell ref="AI84:AM84"/>
    <mergeCell ref="AQ52:AT54"/>
    <mergeCell ref="BC49:BC50"/>
    <mergeCell ref="AI140:AM140"/>
    <mergeCell ref="AB137:AH137"/>
    <mergeCell ref="AB138:AH138"/>
    <mergeCell ref="AQ117:AT122"/>
    <mergeCell ref="AQ124:AT135"/>
    <mergeCell ref="AQ137:AT140"/>
    <mergeCell ref="AU137:BC140"/>
    <mergeCell ref="AI50:AM50"/>
    <mergeCell ref="AQ48:AT50"/>
    <mergeCell ref="AU48:AX48"/>
    <mergeCell ref="AY48:AZ48"/>
    <mergeCell ref="BA48:BB48"/>
    <mergeCell ref="AU49:AX50"/>
    <mergeCell ref="AY49:AZ50"/>
    <mergeCell ref="BA49:BB50"/>
    <mergeCell ref="AU53:AX54"/>
    <mergeCell ref="BC53:BC54"/>
    <mergeCell ref="AU56:AX56"/>
    <mergeCell ref="AQ56:AT57"/>
    <mergeCell ref="AY56:AZ56"/>
    <mergeCell ref="AU106:BC106"/>
    <mergeCell ref="AI91:AM91"/>
    <mergeCell ref="AI93:AM93"/>
    <mergeCell ref="AY99:BA99"/>
    <mergeCell ref="AY100:BA100"/>
    <mergeCell ref="AU94:AY94"/>
    <mergeCell ref="AZ94:BB94"/>
    <mergeCell ref="AU95:AY95"/>
    <mergeCell ref="AI72:AM72"/>
    <mergeCell ref="AJ73:AK73"/>
    <mergeCell ref="AU93:BC93"/>
    <mergeCell ref="AU96:AX96"/>
    <mergeCell ref="BC94:BC95"/>
    <mergeCell ref="AI106:AM106"/>
    <mergeCell ref="BA56:BB56"/>
    <mergeCell ref="AU60:AX60"/>
    <mergeCell ref="AY60:AZ60"/>
    <mergeCell ref="AQ60:AT63"/>
    <mergeCell ref="AI58:AM58"/>
    <mergeCell ref="BF74:BF82"/>
    <mergeCell ref="AO69:AP69"/>
    <mergeCell ref="AZ95:BB95"/>
    <mergeCell ref="AB69:AH69"/>
    <mergeCell ref="AB70:AH70"/>
    <mergeCell ref="AB72:AH73"/>
    <mergeCell ref="AB86:AH86"/>
    <mergeCell ref="AO72:AP73"/>
    <mergeCell ref="AU69:BC70"/>
    <mergeCell ref="AQ69:AT70"/>
    <mergeCell ref="AU75:AX75"/>
    <mergeCell ref="BA75:BB75"/>
    <mergeCell ref="BA76:BB76"/>
    <mergeCell ref="AU76:AX76"/>
    <mergeCell ref="AO91:AP92"/>
    <mergeCell ref="AU88:BC88"/>
    <mergeCell ref="AU89:BC89"/>
    <mergeCell ref="AO84:AP85"/>
    <mergeCell ref="AB104:AH104"/>
    <mergeCell ref="AB84:AH85"/>
    <mergeCell ref="AB93:AH93"/>
    <mergeCell ref="AB91:AH92"/>
    <mergeCell ref="AI86:AM86"/>
    <mergeCell ref="AI104:AM104"/>
    <mergeCell ref="AB74:AH74"/>
    <mergeCell ref="AI74:AM74"/>
    <mergeCell ref="U70:AA70"/>
    <mergeCell ref="U75:AA76"/>
    <mergeCell ref="BC127:BC128"/>
    <mergeCell ref="AZ128:BB128"/>
    <mergeCell ref="AU129:AW129"/>
    <mergeCell ref="BA129:BB129"/>
    <mergeCell ref="AI124:AM124"/>
    <mergeCell ref="AI126:AM126"/>
    <mergeCell ref="AI137:AM137"/>
    <mergeCell ref="AB124:AH125"/>
    <mergeCell ref="AB117:AH118"/>
    <mergeCell ref="AI117:AM117"/>
    <mergeCell ref="AU109:AW109"/>
    <mergeCell ref="AY112:BA112"/>
    <mergeCell ref="AY113:BA113"/>
    <mergeCell ref="AI138:AM138"/>
    <mergeCell ref="AI139:AM139"/>
    <mergeCell ref="AY132:BA132"/>
    <mergeCell ref="AY133:BA133"/>
    <mergeCell ref="AQ1:AT1"/>
    <mergeCell ref="AU1:BC1"/>
    <mergeCell ref="AO47:AP47"/>
    <mergeCell ref="AQ47:AT47"/>
    <mergeCell ref="AU47:BC47"/>
    <mergeCell ref="AU119:AY119"/>
    <mergeCell ref="AU120:BC120"/>
    <mergeCell ref="AU121:BC121"/>
    <mergeCell ref="AU122:BC122"/>
    <mergeCell ref="AO124:AP125"/>
    <mergeCell ref="AO126:AP126"/>
    <mergeCell ref="AU126:BC126"/>
    <mergeCell ref="AZ127:BB127"/>
    <mergeCell ref="AI61:AM61"/>
    <mergeCell ref="AI62:AM62"/>
    <mergeCell ref="AI63:AM63"/>
    <mergeCell ref="AO117:AP118"/>
    <mergeCell ref="AB163:AH163"/>
    <mergeCell ref="AI163:AM163"/>
    <mergeCell ref="AB164:AH164"/>
    <mergeCell ref="AI164:AM164"/>
    <mergeCell ref="AO1:AP1"/>
    <mergeCell ref="AI48:AM48"/>
    <mergeCell ref="AI49:AM49"/>
    <mergeCell ref="AB146:AH146"/>
    <mergeCell ref="AO144:AP144"/>
    <mergeCell ref="AI148:AM148"/>
    <mergeCell ref="AB148:AH148"/>
    <mergeCell ref="AI53:AM53"/>
    <mergeCell ref="AI52:AM52"/>
    <mergeCell ref="AB126:AH126"/>
    <mergeCell ref="AB158:AH158"/>
    <mergeCell ref="AI158:AM158"/>
    <mergeCell ref="AB159:AH159"/>
    <mergeCell ref="AB119:AH119"/>
    <mergeCell ref="AI159:AM159"/>
    <mergeCell ref="AO119:AP119"/>
    <mergeCell ref="AI119:AM119"/>
    <mergeCell ref="AB160:AH160"/>
    <mergeCell ref="AI160:AM160"/>
    <mergeCell ref="AB152:AH152"/>
    <mergeCell ref="AB179:AH179"/>
    <mergeCell ref="AI179:AM179"/>
    <mergeCell ref="AB171:AH171"/>
    <mergeCell ref="AI171:AM171"/>
    <mergeCell ref="AB172:AH172"/>
    <mergeCell ref="AI172:AM172"/>
    <mergeCell ref="AB173:AH173"/>
    <mergeCell ref="AI173:AM173"/>
    <mergeCell ref="AB165:AH165"/>
    <mergeCell ref="AI165:AM165"/>
    <mergeCell ref="AB177:AH177"/>
    <mergeCell ref="AI177:AM177"/>
    <mergeCell ref="AB178:AH178"/>
    <mergeCell ref="AI178:AM178"/>
    <mergeCell ref="AI152:AM152"/>
    <mergeCell ref="AB153:AH153"/>
    <mergeCell ref="AI153:AM153"/>
    <mergeCell ref="AB154:AH154"/>
    <mergeCell ref="AI154:AM154"/>
    <mergeCell ref="AU144:BC144"/>
    <mergeCell ref="AQ144:AT144"/>
    <mergeCell ref="AI146:AM146"/>
    <mergeCell ref="AI147:AM147"/>
    <mergeCell ref="AB147:AH147"/>
  </mergeCells>
  <phoneticPr fontId="1" type="noConversion"/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E28-C337-4351-9262-450BE706BE58}">
  <dimension ref="A1:AE40"/>
  <sheetViews>
    <sheetView zoomScaleNormal="100" workbookViewId="0"/>
  </sheetViews>
  <sheetFormatPr baseColWidth="10" defaultRowHeight="14.4" outlineLevelCol="1" x14ac:dyDescent="0.3"/>
  <cols>
    <col min="1" max="1" width="4.33203125" customWidth="1" outlineLevel="1"/>
    <col min="2" max="2" width="4.88671875" customWidth="1" outlineLevel="1"/>
    <col min="3" max="3" width="1.88671875" customWidth="1" outlineLevel="1"/>
    <col min="4" max="4" width="6.33203125" customWidth="1" outlineLevel="1"/>
    <col min="5" max="5" width="1.6640625" customWidth="1" outlineLevel="1"/>
    <col min="6" max="6" width="6" customWidth="1" outlineLevel="1"/>
    <col min="7" max="7" width="1.6640625" customWidth="1" outlineLevel="1"/>
    <col min="8" max="8" width="6.5546875" customWidth="1" outlineLevel="1"/>
    <col min="9" max="9" width="2.44140625" customWidth="1" outlineLevel="1"/>
    <col min="10" max="10" width="6" customWidth="1" outlineLevel="1"/>
    <col min="11" max="11" width="8.109375" customWidth="1" outlineLevel="1"/>
    <col min="12" max="12" width="3" customWidth="1" outlineLevel="1"/>
    <col min="13" max="13" width="5.5546875" customWidth="1" outlineLevel="1"/>
    <col min="14" max="14" width="2.5546875" customWidth="1" outlineLevel="1"/>
    <col min="15" max="15" width="6.44140625" customWidth="1" outlineLevel="1"/>
    <col min="16" max="16" width="2.5546875" customWidth="1" outlineLevel="1"/>
    <col min="17" max="17" width="11.44140625" outlineLevel="1"/>
    <col min="18" max="18" width="39.88671875" customWidth="1" outlineLevel="1"/>
    <col min="19" max="19" width="26.6640625" customWidth="1" outlineLevel="1"/>
    <col min="20" max="20" width="14.109375" customWidth="1"/>
    <col min="21" max="21" width="2" customWidth="1"/>
    <col min="22" max="22" width="5.33203125" customWidth="1"/>
    <col min="23" max="23" width="2.6640625" customWidth="1"/>
    <col min="25" max="25" width="3.6640625" customWidth="1"/>
    <col min="26" max="26" width="12.109375" customWidth="1"/>
    <col min="27" max="27" width="5.44140625" customWidth="1"/>
    <col min="28" max="28" width="13.109375" customWidth="1"/>
    <col min="29" max="29" width="2" customWidth="1"/>
    <col min="30" max="30" width="16.88671875" customWidth="1"/>
    <col min="31" max="31" width="19.5546875" customWidth="1"/>
  </cols>
  <sheetData>
    <row r="1" spans="1:31" ht="15" thickBot="1" x14ac:dyDescent="0.35"/>
    <row r="2" spans="1:31" ht="15" customHeight="1" thickBot="1" x14ac:dyDescent="0.35">
      <c r="R2" s="739" t="s">
        <v>0</v>
      </c>
      <c r="S2" s="741"/>
      <c r="T2" s="739" t="s">
        <v>1</v>
      </c>
      <c r="U2" s="740"/>
      <c r="V2" s="740"/>
      <c r="W2" s="740"/>
      <c r="X2" s="740"/>
      <c r="Y2" s="740"/>
      <c r="Z2" s="740"/>
      <c r="AA2" s="740"/>
      <c r="AB2" s="741"/>
    </row>
    <row r="3" spans="1:31" ht="30" customHeight="1" x14ac:dyDescent="0.3">
      <c r="A3" s="752"/>
      <c r="B3" s="779"/>
      <c r="C3" s="749" t="s">
        <v>53</v>
      </c>
      <c r="D3" s="745"/>
      <c r="E3" s="745"/>
      <c r="F3" s="745"/>
      <c r="G3" s="745"/>
      <c r="H3" s="745"/>
      <c r="I3" s="745"/>
      <c r="J3" s="799"/>
      <c r="K3" s="751" t="s">
        <v>225</v>
      </c>
      <c r="L3" s="752"/>
      <c r="M3" s="752"/>
      <c r="N3" s="752"/>
      <c r="O3" s="779"/>
      <c r="P3" s="751"/>
      <c r="Q3" s="779"/>
      <c r="R3" s="159" t="s">
        <v>352</v>
      </c>
      <c r="S3" s="79"/>
      <c r="T3" s="15" t="s">
        <v>107</v>
      </c>
      <c r="U3" s="15"/>
      <c r="V3" s="15"/>
      <c r="W3" s="15"/>
      <c r="X3" s="209" t="s">
        <v>239</v>
      </c>
      <c r="Y3" s="15"/>
      <c r="Z3" s="15">
        <v>0</v>
      </c>
      <c r="AA3" s="14" t="s">
        <v>54</v>
      </c>
      <c r="AB3" s="44"/>
    </row>
    <row r="4" spans="1:31" ht="15" customHeight="1" thickBot="1" x14ac:dyDescent="0.35">
      <c r="A4" s="728"/>
      <c r="B4" s="782"/>
      <c r="C4" s="48"/>
      <c r="D4" s="15"/>
      <c r="E4" s="15"/>
      <c r="F4" s="15"/>
      <c r="G4" s="15"/>
      <c r="H4" s="15"/>
      <c r="I4" s="15"/>
      <c r="J4" s="44"/>
      <c r="K4" s="56"/>
      <c r="L4" s="251" t="s">
        <v>251</v>
      </c>
      <c r="M4" s="885">
        <f>Z3</f>
        <v>0</v>
      </c>
      <c r="N4" s="885"/>
      <c r="O4" s="166"/>
      <c r="P4" s="730"/>
      <c r="Q4" s="754"/>
      <c r="R4" s="159"/>
      <c r="S4" s="225"/>
      <c r="T4" s="93" t="s">
        <v>250</v>
      </c>
      <c r="U4" s="10"/>
      <c r="V4" s="173"/>
      <c r="W4" s="10"/>
      <c r="X4" s="10"/>
      <c r="Y4" s="10"/>
      <c r="Z4" s="174">
        <f>Z3-Z15</f>
        <v>0</v>
      </c>
      <c r="AA4" s="67" t="s">
        <v>54</v>
      </c>
      <c r="AB4" s="45"/>
    </row>
    <row r="5" spans="1:31" ht="19.5" customHeight="1" x14ac:dyDescent="0.3">
      <c r="A5" s="21"/>
      <c r="B5" s="21"/>
      <c r="C5" s="730" t="s">
        <v>61</v>
      </c>
      <c r="D5" s="731"/>
      <c r="E5" s="731"/>
      <c r="F5" s="731"/>
      <c r="G5" s="731"/>
      <c r="H5" s="731"/>
      <c r="I5" s="731"/>
      <c r="J5" s="754"/>
      <c r="K5" s="760" t="s">
        <v>101</v>
      </c>
      <c r="L5" s="761"/>
      <c r="M5" s="761"/>
      <c r="N5" s="761"/>
      <c r="O5" s="762"/>
      <c r="P5" s="730"/>
      <c r="Q5" s="754"/>
      <c r="R5" s="92" t="s">
        <v>338</v>
      </c>
      <c r="S5" s="186"/>
      <c r="T5" s="15" t="s">
        <v>108</v>
      </c>
      <c r="U5" s="15"/>
      <c r="V5" s="15"/>
      <c r="W5" s="15"/>
      <c r="X5" s="15"/>
      <c r="Y5" s="15"/>
      <c r="Z5" s="15"/>
      <c r="AA5" s="15"/>
      <c r="AB5" s="44"/>
      <c r="AC5" s="39"/>
      <c r="AD5" s="39"/>
      <c r="AE5" s="790" t="s">
        <v>309</v>
      </c>
    </row>
    <row r="6" spans="1:31" ht="19.5" customHeight="1" x14ac:dyDescent="0.3">
      <c r="A6" s="21"/>
      <c r="B6" s="21"/>
      <c r="C6" s="19"/>
      <c r="D6" s="251" t="s">
        <v>238</v>
      </c>
      <c r="E6" s="175" t="s">
        <v>235</v>
      </c>
      <c r="F6" s="34" t="s">
        <v>234</v>
      </c>
      <c r="G6" s="176" t="s">
        <v>226</v>
      </c>
      <c r="H6" s="250" t="s">
        <v>236</v>
      </c>
      <c r="J6" s="20"/>
      <c r="K6" s="177" t="s">
        <v>234</v>
      </c>
      <c r="L6" s="252" t="s">
        <v>235</v>
      </c>
      <c r="M6" s="252" t="s">
        <v>268</v>
      </c>
      <c r="N6" s="34" t="s">
        <v>228</v>
      </c>
      <c r="O6" s="158" t="s">
        <v>266</v>
      </c>
      <c r="P6" s="730"/>
      <c r="Q6" s="754"/>
      <c r="R6" s="159" t="s">
        <v>363</v>
      </c>
      <c r="S6" s="20"/>
      <c r="T6" s="864" t="s">
        <v>229</v>
      </c>
      <c r="U6" s="864"/>
      <c r="V6" s="864"/>
      <c r="W6" s="864"/>
      <c r="X6" s="178">
        <v>0.2</v>
      </c>
      <c r="Y6" s="12" t="s">
        <v>230</v>
      </c>
      <c r="Z6" s="810" t="s">
        <v>231</v>
      </c>
      <c r="AA6" s="765"/>
      <c r="AB6" s="179">
        <v>0.04</v>
      </c>
      <c r="AE6" s="791"/>
    </row>
    <row r="7" spans="1:31" ht="19.5" customHeight="1" x14ac:dyDescent="0.3">
      <c r="A7" s="21"/>
      <c r="B7" s="21"/>
      <c r="C7" s="19"/>
      <c r="D7" s="400">
        <f>F7*H7</f>
        <v>0</v>
      </c>
      <c r="E7" s="175" t="s">
        <v>235</v>
      </c>
      <c r="F7" s="390">
        <f>ROUND(K8,3)</f>
        <v>0.254</v>
      </c>
      <c r="G7" s="176" t="s">
        <v>226</v>
      </c>
      <c r="H7" s="391">
        <f>M4</f>
        <v>0</v>
      </c>
      <c r="J7" s="20"/>
      <c r="K7" s="91">
        <f>ROUND(M7/O7,3)</f>
        <v>0.19500000000000001</v>
      </c>
      <c r="L7" s="175" t="s">
        <v>235</v>
      </c>
      <c r="M7" s="283">
        <v>1</v>
      </c>
      <c r="N7" s="34" t="s">
        <v>228</v>
      </c>
      <c r="O7" s="226">
        <f>T10</f>
        <v>5.14</v>
      </c>
      <c r="P7" s="730"/>
      <c r="Q7" s="754"/>
      <c r="R7" s="15" t="str">
        <f>'Kat. 1 U-Wert'!B9</f>
        <v>Massive Konstruktion</v>
      </c>
      <c r="S7" s="79" t="s">
        <v>312</v>
      </c>
      <c r="T7" s="865" t="s">
        <v>306</v>
      </c>
      <c r="U7" s="865"/>
      <c r="V7" s="865"/>
      <c r="W7" s="865"/>
      <c r="X7" s="206">
        <v>0.2</v>
      </c>
      <c r="Y7" s="29" t="s">
        <v>230</v>
      </c>
      <c r="Z7" s="861" t="s">
        <v>232</v>
      </c>
      <c r="AA7" s="812"/>
      <c r="AB7" s="237">
        <v>0.04</v>
      </c>
      <c r="AE7" s="791"/>
    </row>
    <row r="8" spans="1:31" ht="19.5" customHeight="1" thickBot="1" x14ac:dyDescent="0.35">
      <c r="A8" s="21"/>
      <c r="B8" s="21"/>
      <c r="C8" s="91"/>
      <c r="F8" s="34"/>
      <c r="G8" s="34"/>
      <c r="H8" s="34"/>
      <c r="I8" s="34"/>
      <c r="J8" s="94"/>
      <c r="K8" s="395">
        <f>M8*O8</f>
        <v>0.2535</v>
      </c>
      <c r="L8" s="182" t="s">
        <v>235</v>
      </c>
      <c r="M8" s="394">
        <f>K7</f>
        <v>0.19500000000000001</v>
      </c>
      <c r="N8" t="s">
        <v>226</v>
      </c>
      <c r="O8" s="183">
        <v>1.3</v>
      </c>
      <c r="P8" s="730"/>
      <c r="Q8" s="754"/>
      <c r="R8" s="15" t="str">
        <f>'Kat. 1 U-Wert'!B10</f>
        <v>Holzkonstruktion</v>
      </c>
      <c r="S8" s="79" t="s">
        <v>313</v>
      </c>
      <c r="T8" s="882" t="s">
        <v>327</v>
      </c>
      <c r="U8" s="882"/>
      <c r="V8" s="882"/>
      <c r="W8" s="882"/>
      <c r="X8" s="882"/>
      <c r="Y8" s="882"/>
      <c r="Z8" s="882"/>
      <c r="AA8" s="882"/>
      <c r="AB8" s="883"/>
      <c r="AE8" s="791"/>
    </row>
    <row r="9" spans="1:31" ht="19.5" customHeight="1" x14ac:dyDescent="0.3">
      <c r="A9" s="21"/>
      <c r="B9" s="21"/>
      <c r="C9" s="91"/>
      <c r="D9" s="34"/>
      <c r="E9" s="34"/>
      <c r="F9" s="34"/>
      <c r="G9" s="34"/>
      <c r="H9" s="34"/>
      <c r="I9" s="34"/>
      <c r="J9" s="94"/>
      <c r="K9" s="91"/>
      <c r="O9" s="20"/>
      <c r="P9" s="730"/>
      <c r="Q9" s="754"/>
      <c r="R9" s="14"/>
      <c r="S9" s="79"/>
      <c r="T9" s="205" t="s">
        <v>307</v>
      </c>
      <c r="U9" s="184" t="s">
        <v>235</v>
      </c>
      <c r="V9" s="185" t="s">
        <v>262</v>
      </c>
      <c r="W9" s="184" t="s">
        <v>233</v>
      </c>
      <c r="X9" s="36" t="s">
        <v>227</v>
      </c>
      <c r="Y9" s="36" t="s">
        <v>228</v>
      </c>
      <c r="Z9" s="36" t="s">
        <v>265</v>
      </c>
      <c r="AA9" s="204" t="s">
        <v>233</v>
      </c>
      <c r="AB9" s="186" t="s">
        <v>264</v>
      </c>
      <c r="AC9" s="187" t="s">
        <v>226</v>
      </c>
      <c r="AD9" s="160" t="s">
        <v>267</v>
      </c>
      <c r="AE9" s="791"/>
    </row>
    <row r="10" spans="1:31" ht="19.5" customHeight="1" thickBot="1" x14ac:dyDescent="0.35">
      <c r="A10" s="21"/>
      <c r="B10" s="21"/>
      <c r="C10" s="91"/>
      <c r="D10" s="34"/>
      <c r="E10" s="34"/>
      <c r="F10" s="34"/>
      <c r="G10" s="34"/>
      <c r="H10" s="34"/>
      <c r="I10" s="34"/>
      <c r="J10" s="94"/>
      <c r="K10" s="91"/>
      <c r="O10" s="20"/>
      <c r="P10" s="730"/>
      <c r="Q10" s="754"/>
      <c r="R10" s="14"/>
      <c r="S10" s="79"/>
      <c r="T10" s="241">
        <f>V10+(X10/Z10)+AB10</f>
        <v>5.14</v>
      </c>
      <c r="U10" s="188" t="s">
        <v>235</v>
      </c>
      <c r="V10" s="189">
        <f>'Kat. 1 U-Wert'!C51</f>
        <v>0.1</v>
      </c>
      <c r="W10" s="190" t="s">
        <v>233</v>
      </c>
      <c r="X10" s="189">
        <f>X6</f>
        <v>0.2</v>
      </c>
      <c r="Y10" s="67" t="s">
        <v>228</v>
      </c>
      <c r="Z10" s="191">
        <f>AB6</f>
        <v>0.04</v>
      </c>
      <c r="AA10" s="188" t="s">
        <v>233</v>
      </c>
      <c r="AB10" s="192">
        <f>'Kat. 1 U-Wert'!C52</f>
        <v>0.04</v>
      </c>
      <c r="AC10" s="193" t="s">
        <v>226</v>
      </c>
      <c r="AD10" s="194">
        <v>0.3</v>
      </c>
      <c r="AE10" s="791"/>
    </row>
    <row r="11" spans="1:31" ht="19.5" customHeight="1" x14ac:dyDescent="0.3">
      <c r="A11" s="21"/>
      <c r="B11" s="21"/>
      <c r="C11" s="91"/>
      <c r="D11" s="34"/>
      <c r="E11" s="34"/>
      <c r="F11" s="34"/>
      <c r="G11" s="34"/>
      <c r="H11" s="34"/>
      <c r="I11" s="34"/>
      <c r="J11" s="94"/>
      <c r="K11" s="118">
        <f>ROUND(M11/O11,3)</f>
        <v>0.191</v>
      </c>
      <c r="L11" s="210" t="s">
        <v>235</v>
      </c>
      <c r="M11" s="257">
        <v>1</v>
      </c>
      <c r="N11" s="37" t="s">
        <v>228</v>
      </c>
      <c r="O11" s="275">
        <f>T12</f>
        <v>5.2486956521739128</v>
      </c>
      <c r="P11" s="730"/>
      <c r="Q11" s="754"/>
      <c r="R11" s="36"/>
      <c r="S11" s="186"/>
      <c r="T11" s="205" t="s">
        <v>308</v>
      </c>
      <c r="U11" s="184" t="s">
        <v>235</v>
      </c>
      <c r="V11" s="185" t="s">
        <v>262</v>
      </c>
      <c r="W11" s="184" t="s">
        <v>233</v>
      </c>
      <c r="X11" s="36" t="s">
        <v>227</v>
      </c>
      <c r="Y11" s="36" t="s">
        <v>228</v>
      </c>
      <c r="Z11" s="36" t="s">
        <v>265</v>
      </c>
      <c r="AA11" s="204" t="s">
        <v>233</v>
      </c>
      <c r="AB11" s="186" t="s">
        <v>263</v>
      </c>
      <c r="AC11" s="182"/>
      <c r="AD11" s="203"/>
      <c r="AE11" s="791"/>
    </row>
    <row r="12" spans="1:31" ht="19.5" customHeight="1" x14ac:dyDescent="0.3">
      <c r="A12" s="21"/>
      <c r="B12" s="21"/>
      <c r="C12" s="91"/>
      <c r="D12" s="34"/>
      <c r="E12" s="34"/>
      <c r="F12" s="34"/>
      <c r="G12" s="34"/>
      <c r="H12" s="34"/>
      <c r="I12" s="34"/>
      <c r="J12" s="94"/>
      <c r="K12" s="195" t="s">
        <v>310</v>
      </c>
      <c r="M12" s="175"/>
      <c r="N12" s="253"/>
      <c r="O12" s="396"/>
      <c r="P12" s="730"/>
      <c r="Q12" s="754"/>
      <c r="R12" s="14"/>
      <c r="S12" s="79"/>
      <c r="T12" s="242">
        <f>V12+(X12/Z12+X13/Z13)+AB12</f>
        <v>5.2486956521739128</v>
      </c>
      <c r="U12" s="198" t="s">
        <v>235</v>
      </c>
      <c r="V12" s="199">
        <f>'Kat. 1 U-Wert'!C51</f>
        <v>0.1</v>
      </c>
      <c r="W12" s="200" t="s">
        <v>233</v>
      </c>
      <c r="X12" s="199">
        <f>X7</f>
        <v>0.2</v>
      </c>
      <c r="Y12" s="14" t="s">
        <v>228</v>
      </c>
      <c r="Z12" s="201">
        <f>AB7</f>
        <v>0.04</v>
      </c>
      <c r="AA12" s="198" t="s">
        <v>233</v>
      </c>
      <c r="AB12" s="202">
        <f>'Kat. 1 U-Wert'!C52</f>
        <v>0.04</v>
      </c>
      <c r="AC12" s="182"/>
      <c r="AD12" s="203"/>
      <c r="AE12" s="791"/>
    </row>
    <row r="13" spans="1:31" ht="19.5" customHeight="1" thickBot="1" x14ac:dyDescent="0.35">
      <c r="A13" s="21"/>
      <c r="B13" s="21"/>
      <c r="C13" s="131"/>
      <c r="D13" s="132"/>
      <c r="E13" s="132"/>
      <c r="F13" s="132"/>
      <c r="G13" s="132"/>
      <c r="H13" s="132"/>
      <c r="I13" s="132"/>
      <c r="J13" s="215"/>
      <c r="K13" s="131"/>
      <c r="L13" s="23"/>
      <c r="M13" s="23"/>
      <c r="N13" s="23"/>
      <c r="O13" s="24"/>
      <c r="P13" s="733"/>
      <c r="Q13" s="817"/>
      <c r="R13" s="14"/>
      <c r="S13" s="79"/>
      <c r="T13" s="201"/>
      <c r="U13" s="198"/>
      <c r="V13" s="199"/>
      <c r="W13" s="200"/>
      <c r="X13" s="199">
        <v>0.25</v>
      </c>
      <c r="Y13" s="14" t="s">
        <v>228</v>
      </c>
      <c r="Z13" s="201">
        <v>2.2999999999999998</v>
      </c>
      <c r="AA13" s="198"/>
      <c r="AB13" s="202"/>
      <c r="AC13" s="196"/>
      <c r="AD13" s="197"/>
      <c r="AE13" s="792"/>
    </row>
    <row r="14" spans="1:31" ht="19.5" customHeight="1" thickBot="1" x14ac:dyDescent="0.35">
      <c r="A14" s="21"/>
      <c r="B14" s="21"/>
      <c r="C14" s="867"/>
      <c r="D14" s="868"/>
      <c r="E14" s="868"/>
      <c r="F14" s="868"/>
      <c r="G14" s="868"/>
      <c r="H14" s="868"/>
      <c r="I14" s="868"/>
      <c r="J14" s="868"/>
      <c r="K14" s="832"/>
      <c r="L14" s="832"/>
      <c r="M14" s="832"/>
      <c r="N14" s="832"/>
      <c r="O14" s="832"/>
      <c r="P14" s="832"/>
      <c r="Q14" s="832"/>
      <c r="R14" s="832"/>
      <c r="S14" s="832"/>
      <c r="T14" s="832"/>
      <c r="U14" s="832"/>
      <c r="V14" s="832"/>
      <c r="W14" s="832"/>
      <c r="X14" s="832"/>
      <c r="Y14" s="832"/>
      <c r="Z14" s="832"/>
      <c r="AA14" s="832"/>
      <c r="AB14" s="834"/>
      <c r="AC14" s="182"/>
      <c r="AD14" s="203"/>
      <c r="AE14" s="34"/>
    </row>
    <row r="15" spans="1:31" ht="19.5" customHeight="1" x14ac:dyDescent="0.3">
      <c r="A15" s="21"/>
      <c r="B15" s="21"/>
      <c r="C15" s="751" t="s">
        <v>248</v>
      </c>
      <c r="D15" s="752"/>
      <c r="E15" s="752"/>
      <c r="F15" s="752"/>
      <c r="G15" s="752"/>
      <c r="H15" s="752"/>
      <c r="I15" s="752"/>
      <c r="J15" s="779"/>
      <c r="K15" s="752" t="s">
        <v>225</v>
      </c>
      <c r="L15" s="752"/>
      <c r="M15" s="752"/>
      <c r="N15" s="752"/>
      <c r="O15" s="779"/>
      <c r="P15" s="751"/>
      <c r="Q15" s="779"/>
      <c r="R15" s="57" t="s">
        <v>352</v>
      </c>
      <c r="S15" s="79"/>
      <c r="T15" s="159" t="s">
        <v>107</v>
      </c>
      <c r="U15" s="198"/>
      <c r="V15" s="199"/>
      <c r="W15" s="200"/>
      <c r="X15" s="209" t="s">
        <v>239</v>
      </c>
      <c r="Y15" s="14"/>
      <c r="Z15" s="181">
        <f>Z3*0.2</f>
        <v>0</v>
      </c>
      <c r="AA15" s="15" t="s">
        <v>54</v>
      </c>
      <c r="AB15" s="79"/>
    </row>
    <row r="16" spans="1:31" ht="19.5" customHeight="1" x14ac:dyDescent="0.3">
      <c r="A16" s="21"/>
      <c r="B16" s="21"/>
      <c r="C16" s="19"/>
      <c r="D16" s="251" t="s">
        <v>238</v>
      </c>
      <c r="E16" s="175" t="s">
        <v>235</v>
      </c>
      <c r="F16" s="34" t="s">
        <v>237</v>
      </c>
      <c r="G16" s="176" t="s">
        <v>226</v>
      </c>
      <c r="H16" s="34" t="s">
        <v>234</v>
      </c>
      <c r="I16" s="176" t="s">
        <v>226</v>
      </c>
      <c r="J16" s="158" t="s">
        <v>236</v>
      </c>
      <c r="K16" s="304" t="s">
        <v>236</v>
      </c>
      <c r="L16" s="190" t="s">
        <v>235</v>
      </c>
      <c r="M16" s="208">
        <f>Z15</f>
        <v>0</v>
      </c>
      <c r="N16" s="40"/>
      <c r="O16" s="60"/>
      <c r="P16" s="730"/>
      <c r="Q16" s="754"/>
      <c r="R16" s="57"/>
      <c r="S16" s="79"/>
      <c r="T16" s="159"/>
      <c r="U16" s="198"/>
      <c r="V16" s="199"/>
      <c r="W16" s="200"/>
      <c r="X16" s="209"/>
      <c r="Y16" s="14"/>
      <c r="Z16" s="181"/>
      <c r="AA16" s="15"/>
      <c r="AB16" s="79"/>
    </row>
    <row r="17" spans="1:30" ht="19.5" customHeight="1" x14ac:dyDescent="0.3">
      <c r="A17" s="21"/>
      <c r="B17" s="21"/>
      <c r="C17" s="19"/>
      <c r="D17" s="400">
        <f>F17*H17*J17</f>
        <v>0</v>
      </c>
      <c r="E17" s="175" t="s">
        <v>235</v>
      </c>
      <c r="F17" s="34">
        <v>0.93</v>
      </c>
      <c r="G17" s="176" t="s">
        <v>226</v>
      </c>
      <c r="H17" s="401">
        <f>M18</f>
        <v>2</v>
      </c>
      <c r="I17" s="176" t="s">
        <v>226</v>
      </c>
      <c r="J17" s="180">
        <f>M16</f>
        <v>0</v>
      </c>
      <c r="K17" s="731" t="s">
        <v>101</v>
      </c>
      <c r="L17" s="731"/>
      <c r="M17" s="731"/>
      <c r="N17" s="731"/>
      <c r="O17" s="754"/>
      <c r="P17" s="730"/>
      <c r="Q17" s="754"/>
      <c r="R17" s="68" t="s">
        <v>340</v>
      </c>
      <c r="S17" s="186"/>
      <c r="T17" s="812" t="s">
        <v>249</v>
      </c>
      <c r="U17" s="812"/>
      <c r="V17" s="812"/>
      <c r="W17" s="812"/>
      <c r="X17" s="812"/>
      <c r="Y17" s="36"/>
      <c r="Z17" s="238" t="s">
        <v>349</v>
      </c>
      <c r="AA17" s="185">
        <v>2</v>
      </c>
      <c r="AB17" s="239" t="s">
        <v>56</v>
      </c>
    </row>
    <row r="18" spans="1:30" ht="19.5" customHeight="1" x14ac:dyDescent="0.3">
      <c r="A18" s="21"/>
      <c r="B18" s="21"/>
      <c r="C18" s="19"/>
      <c r="J18" s="20"/>
      <c r="K18" s="251" t="s">
        <v>234</v>
      </c>
      <c r="L18" s="175" t="s">
        <v>235</v>
      </c>
      <c r="M18" s="402">
        <f>AA17</f>
        <v>2</v>
      </c>
      <c r="O18" s="94"/>
      <c r="P18" s="730"/>
      <c r="Q18" s="754"/>
      <c r="R18" s="57" t="str">
        <f>'Kat. 1 U-Wert'!B40</f>
        <v>Holzfenster, zwei Scheiben</v>
      </c>
      <c r="S18" s="79" t="s">
        <v>328</v>
      </c>
      <c r="T18" s="765" t="s">
        <v>372</v>
      </c>
      <c r="U18" s="765"/>
      <c r="V18" s="765"/>
      <c r="W18" s="765"/>
      <c r="X18" s="765"/>
      <c r="Y18" s="765"/>
      <c r="Z18" s="765"/>
      <c r="AA18" s="765"/>
      <c r="AB18" s="756"/>
    </row>
    <row r="19" spans="1:30" ht="19.5" customHeight="1" x14ac:dyDescent="0.3">
      <c r="A19" s="21"/>
      <c r="B19" s="21"/>
      <c r="C19" s="177"/>
      <c r="D19" s="175"/>
      <c r="E19" s="34"/>
      <c r="F19" s="176"/>
      <c r="G19" s="34"/>
      <c r="H19" s="176"/>
      <c r="I19" s="250"/>
      <c r="J19" s="158"/>
      <c r="K19" s="250"/>
      <c r="L19" s="34"/>
      <c r="M19" s="175"/>
      <c r="N19" s="34"/>
      <c r="O19" s="94"/>
      <c r="P19" s="730"/>
      <c r="Q19" s="754"/>
      <c r="R19" s="57" t="str">
        <f>'Kat. 1 U-Wert'!B42</f>
        <v>Kunststofffenster, Isolierverglasung</v>
      </c>
      <c r="S19" s="79" t="s">
        <v>329</v>
      </c>
      <c r="T19" s="765" t="s">
        <v>373</v>
      </c>
      <c r="U19" s="765"/>
      <c r="V19" s="765"/>
      <c r="W19" s="765"/>
      <c r="X19" s="765"/>
      <c r="Y19" s="765"/>
      <c r="Z19" s="765"/>
      <c r="AA19" s="765"/>
      <c r="AB19" s="756"/>
    </row>
    <row r="20" spans="1:30" ht="19.5" customHeight="1" thickBot="1" x14ac:dyDescent="0.35">
      <c r="A20" s="103"/>
      <c r="B20" s="103"/>
      <c r="C20" s="230"/>
      <c r="D20" s="229"/>
      <c r="E20" s="132"/>
      <c r="F20" s="231"/>
      <c r="G20" s="132"/>
      <c r="H20" s="231"/>
      <c r="I20" s="392"/>
      <c r="J20" s="232"/>
      <c r="K20" s="392"/>
      <c r="L20" s="132"/>
      <c r="M20" s="229"/>
      <c r="N20" s="132"/>
      <c r="O20" s="215"/>
      <c r="P20" s="733"/>
      <c r="Q20" s="817"/>
      <c r="R20" s="216"/>
      <c r="S20" s="222"/>
      <c r="T20" s="766" t="s">
        <v>325</v>
      </c>
      <c r="U20" s="766"/>
      <c r="V20" s="766"/>
      <c r="W20" s="766"/>
      <c r="X20" s="766"/>
      <c r="Y20" s="766"/>
      <c r="Z20" s="766"/>
      <c r="AA20" s="766"/>
      <c r="AB20" s="767"/>
    </row>
    <row r="21" spans="1:30" ht="19.5" customHeight="1" x14ac:dyDescent="0.3">
      <c r="A21" s="21"/>
      <c r="B21" s="21"/>
      <c r="C21" s="251"/>
      <c r="D21" s="175"/>
      <c r="E21" s="34"/>
      <c r="F21" s="176"/>
      <c r="G21" s="34"/>
      <c r="H21" s="176"/>
      <c r="I21" s="250"/>
      <c r="J21" s="250"/>
      <c r="K21" s="250"/>
      <c r="L21" s="34"/>
      <c r="M21" s="175"/>
      <c r="N21" s="34"/>
      <c r="O21" s="34"/>
      <c r="P21" s="34"/>
      <c r="Q21" s="34"/>
      <c r="R21" s="159"/>
      <c r="S21" s="14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30" ht="16.2" thickBot="1" x14ac:dyDescent="0.35">
      <c r="R22" s="863"/>
      <c r="S22" s="863"/>
      <c r="T22" s="863"/>
      <c r="U22" s="863"/>
      <c r="V22" s="863"/>
      <c r="W22" s="863"/>
      <c r="X22" s="863"/>
      <c r="Y22" s="863"/>
      <c r="Z22" s="863"/>
      <c r="AA22" s="863"/>
      <c r="AB22" s="863"/>
    </row>
    <row r="23" spans="1:30" ht="15" thickBo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8"/>
    </row>
    <row r="24" spans="1:30" ht="31.5" customHeight="1" x14ac:dyDescent="0.3">
      <c r="B24" s="884" t="s">
        <v>432</v>
      </c>
      <c r="C24" s="761"/>
      <c r="D24" s="761"/>
      <c r="E24" s="761"/>
      <c r="F24" s="761"/>
      <c r="G24" s="761"/>
      <c r="H24" s="869" t="s">
        <v>429</v>
      </c>
      <c r="I24" s="870"/>
      <c r="J24" s="871"/>
      <c r="K24" s="872" t="s">
        <v>424</v>
      </c>
      <c r="L24" s="774"/>
      <c r="M24" s="872" t="s">
        <v>423</v>
      </c>
      <c r="N24" s="873"/>
      <c r="O24" s="774"/>
      <c r="P24" s="873" t="s">
        <v>425</v>
      </c>
      <c r="Q24" s="873"/>
      <c r="R24" s="874" t="s">
        <v>353</v>
      </c>
      <c r="S24" s="875"/>
      <c r="T24" s="850"/>
      <c r="U24" s="850"/>
      <c r="V24" s="850"/>
      <c r="W24" s="850"/>
      <c r="X24" s="850"/>
      <c r="Y24" s="850"/>
      <c r="Z24" s="850"/>
      <c r="AA24" s="850"/>
      <c r="AB24" s="862"/>
      <c r="AD24" s="20"/>
    </row>
    <row r="25" spans="1:30" ht="25.5" customHeight="1" x14ac:dyDescent="0.3">
      <c r="B25" s="878" t="s">
        <v>61</v>
      </c>
      <c r="C25" s="731"/>
      <c r="D25" s="731"/>
      <c r="E25" s="731"/>
      <c r="F25" s="731"/>
      <c r="G25" s="731"/>
      <c r="H25" s="879" t="s">
        <v>230</v>
      </c>
      <c r="I25" s="880"/>
      <c r="J25" s="881"/>
      <c r="K25" s="895" t="s">
        <v>56</v>
      </c>
      <c r="L25" s="852"/>
      <c r="M25" s="895" t="s">
        <v>56</v>
      </c>
      <c r="N25" s="800"/>
      <c r="O25" s="852"/>
      <c r="P25" s="800" t="s">
        <v>426</v>
      </c>
      <c r="Q25" s="800"/>
      <c r="R25" s="851" t="s">
        <v>81</v>
      </c>
      <c r="S25" s="872" t="s">
        <v>330</v>
      </c>
      <c r="T25" s="897" t="s">
        <v>368</v>
      </c>
      <c r="U25" s="897"/>
      <c r="V25" s="897"/>
      <c r="W25" s="897"/>
      <c r="X25" s="897"/>
      <c r="Y25" s="897"/>
      <c r="Z25" s="897"/>
      <c r="AA25" s="897"/>
      <c r="AB25" s="905"/>
      <c r="AC25" s="21"/>
      <c r="AD25" s="166"/>
    </row>
    <row r="26" spans="1:30" ht="24" customHeight="1" x14ac:dyDescent="0.3">
      <c r="B26" s="370" t="s">
        <v>238</v>
      </c>
      <c r="C26" s="175" t="s">
        <v>235</v>
      </c>
      <c r="D26" s="34" t="s">
        <v>234</v>
      </c>
      <c r="E26" s="176" t="s">
        <v>226</v>
      </c>
      <c r="F26" s="34" t="s">
        <v>236</v>
      </c>
      <c r="G26" s="307"/>
      <c r="H26" s="891" t="e">
        <f>ROUNDUP(H30,2)</f>
        <v>#DIV/0!</v>
      </c>
      <c r="I26" s="892"/>
      <c r="J26" s="879"/>
      <c r="K26" s="896">
        <f>'Kat. 1 U-Wert'!F96</f>
        <v>0.14000000000000001</v>
      </c>
      <c r="L26" s="896"/>
      <c r="M26" s="895">
        <f>L14</f>
        <v>0</v>
      </c>
      <c r="N26" s="800"/>
      <c r="O26" s="852"/>
      <c r="P26" s="876">
        <f>AB7</f>
        <v>0.04</v>
      </c>
      <c r="Q26" s="877"/>
      <c r="R26" s="866"/>
      <c r="S26" s="895"/>
      <c r="T26" s="897"/>
      <c r="U26" s="897"/>
      <c r="V26" s="897"/>
      <c r="W26" s="897"/>
      <c r="X26" s="897"/>
      <c r="Y26" s="897"/>
      <c r="Z26" s="897"/>
      <c r="AA26" s="897"/>
      <c r="AB26" s="905"/>
      <c r="AC26" s="21"/>
      <c r="AD26" s="166"/>
    </row>
    <row r="27" spans="1:30" ht="32.25" customHeight="1" x14ac:dyDescent="0.3">
      <c r="B27" s="371">
        <f>D27*F27</f>
        <v>0</v>
      </c>
      <c r="C27" s="175" t="s">
        <v>235</v>
      </c>
      <c r="D27" s="297">
        <f>K26</f>
        <v>0.14000000000000001</v>
      </c>
      <c r="E27" s="176" t="s">
        <v>226</v>
      </c>
      <c r="F27" s="211">
        <f>M4</f>
        <v>0</v>
      </c>
      <c r="G27" s="169"/>
      <c r="H27" s="893" t="s">
        <v>431</v>
      </c>
      <c r="I27" s="893"/>
      <c r="J27" s="894"/>
      <c r="K27" s="897" t="s">
        <v>430</v>
      </c>
      <c r="L27" s="897"/>
      <c r="M27" s="889" t="s">
        <v>428</v>
      </c>
      <c r="N27" s="890"/>
      <c r="O27" s="772"/>
      <c r="P27" s="889" t="s">
        <v>427</v>
      </c>
      <c r="Q27" s="890"/>
      <c r="R27" s="851" t="s">
        <v>648</v>
      </c>
      <c r="S27" s="872" t="s">
        <v>344</v>
      </c>
      <c r="T27" s="897" t="s">
        <v>369</v>
      </c>
      <c r="U27" s="897"/>
      <c r="V27" s="897"/>
      <c r="W27" s="897"/>
      <c r="X27" s="897"/>
      <c r="Y27" s="897"/>
      <c r="Z27" s="897"/>
      <c r="AA27" s="897"/>
      <c r="AB27" s="905"/>
      <c r="AC27" s="21"/>
      <c r="AD27" s="166"/>
    </row>
    <row r="28" spans="1:30" ht="18" customHeight="1" x14ac:dyDescent="0.3">
      <c r="B28" s="1"/>
      <c r="D28" s="21"/>
      <c r="E28" s="21"/>
      <c r="F28" s="21"/>
      <c r="G28" s="169"/>
      <c r="H28" s="117"/>
      <c r="I28" s="117"/>
      <c r="J28" s="117"/>
      <c r="K28" s="38"/>
      <c r="L28" s="117"/>
      <c r="M28" s="117"/>
      <c r="N28" s="35"/>
      <c r="O28" s="35"/>
      <c r="P28" s="35"/>
      <c r="Q28" s="35"/>
      <c r="R28" s="866"/>
      <c r="S28" s="895"/>
      <c r="T28" s="897"/>
      <c r="U28" s="897"/>
      <c r="V28" s="897"/>
      <c r="W28" s="897"/>
      <c r="X28" s="897"/>
      <c r="Y28" s="897"/>
      <c r="Z28" s="897"/>
      <c r="AA28" s="897"/>
      <c r="AB28" s="905"/>
      <c r="AC28" s="21"/>
      <c r="AD28" s="166"/>
    </row>
    <row r="29" spans="1:30" ht="18" customHeight="1" x14ac:dyDescent="0.3">
      <c r="B29" s="1"/>
      <c r="D29" s="34"/>
      <c r="E29" s="34"/>
      <c r="F29" s="34"/>
      <c r="G29" s="307"/>
      <c r="H29" s="761" t="s">
        <v>419</v>
      </c>
      <c r="I29" s="761"/>
      <c r="J29" s="210" t="s">
        <v>235</v>
      </c>
      <c r="K29" s="761" t="s">
        <v>420</v>
      </c>
      <c r="L29" s="761"/>
      <c r="M29" s="210" t="s">
        <v>170</v>
      </c>
      <c r="N29" s="761" t="s">
        <v>421</v>
      </c>
      <c r="O29" s="761"/>
      <c r="P29" s="210" t="s">
        <v>226</v>
      </c>
      <c r="Q29" s="37" t="s">
        <v>422</v>
      </c>
      <c r="R29" s="886" t="s">
        <v>370</v>
      </c>
      <c r="S29" s="872" t="s">
        <v>331</v>
      </c>
      <c r="T29" s="897" t="s">
        <v>369</v>
      </c>
      <c r="U29" s="897"/>
      <c r="V29" s="897"/>
      <c r="W29" s="897"/>
      <c r="X29" s="897"/>
      <c r="Y29" s="897"/>
      <c r="Z29" s="897"/>
      <c r="AA29" s="897"/>
      <c r="AB29" s="905"/>
      <c r="AC29" s="21"/>
      <c r="AD29" s="166"/>
    </row>
    <row r="30" spans="1:30" ht="17.25" customHeight="1" x14ac:dyDescent="0.3">
      <c r="B30" s="1"/>
      <c r="D30" s="34"/>
      <c r="E30" s="34"/>
      <c r="F30" s="34"/>
      <c r="G30" s="307"/>
      <c r="H30" s="888" t="e">
        <f>(K30-N30)*Q30</f>
        <v>#DIV/0!</v>
      </c>
      <c r="I30" s="888"/>
      <c r="J30" s="236" t="s">
        <v>235</v>
      </c>
      <c r="K30" s="888">
        <f>1/K26</f>
        <v>7.1428571428571423</v>
      </c>
      <c r="L30" s="888"/>
      <c r="M30" s="236" t="s">
        <v>170</v>
      </c>
      <c r="N30" s="888" t="e">
        <f>1/0</f>
        <v>#DIV/0!</v>
      </c>
      <c r="O30" s="888"/>
      <c r="P30" s="236" t="s">
        <v>226</v>
      </c>
      <c r="Q30" s="369">
        <f>P26</f>
        <v>0.04</v>
      </c>
      <c r="R30" s="886"/>
      <c r="S30" s="727"/>
      <c r="T30" s="897"/>
      <c r="U30" s="897"/>
      <c r="V30" s="897"/>
      <c r="W30" s="897"/>
      <c r="X30" s="897"/>
      <c r="Y30" s="897"/>
      <c r="Z30" s="897"/>
      <c r="AA30" s="897"/>
      <c r="AB30" s="905"/>
      <c r="AC30" s="21"/>
      <c r="AD30" s="166"/>
    </row>
    <row r="31" spans="1:30" ht="17.25" customHeight="1" thickBot="1" x14ac:dyDescent="0.35">
      <c r="B31" s="1"/>
      <c r="D31" s="34"/>
      <c r="E31" s="34"/>
      <c r="F31" s="34"/>
      <c r="G31" s="307"/>
      <c r="H31" s="37"/>
      <c r="I31" s="37"/>
      <c r="J31" s="37"/>
      <c r="K31" s="37"/>
      <c r="L31" s="36"/>
      <c r="M31" s="36"/>
      <c r="N31" s="36"/>
      <c r="O31" s="36"/>
      <c r="P31" s="36"/>
      <c r="Q31" s="36"/>
      <c r="R31" s="887"/>
      <c r="S31" s="736"/>
      <c r="T31" s="906"/>
      <c r="U31" s="906"/>
      <c r="V31" s="906"/>
      <c r="W31" s="906"/>
      <c r="X31" s="906"/>
      <c r="Y31" s="906"/>
      <c r="Z31" s="906"/>
      <c r="AA31" s="906"/>
      <c r="AB31" s="907"/>
      <c r="AC31" s="21"/>
      <c r="AD31" s="166"/>
    </row>
    <row r="32" spans="1:30" ht="16.5" customHeight="1" thickBot="1" x14ac:dyDescent="0.35">
      <c r="B32" s="908" t="s">
        <v>288</v>
      </c>
      <c r="C32" s="909"/>
      <c r="D32" s="909"/>
      <c r="E32" s="909"/>
      <c r="F32" s="909"/>
      <c r="G32" s="909"/>
      <c r="H32" s="909"/>
      <c r="I32" s="909"/>
      <c r="J32" s="909"/>
      <c r="K32" s="909"/>
      <c r="L32" s="909"/>
      <c r="M32" s="909"/>
      <c r="N32" s="909"/>
      <c r="O32" s="909"/>
      <c r="P32" s="909"/>
      <c r="Q32" s="909"/>
      <c r="R32" s="909"/>
      <c r="S32" s="909"/>
      <c r="T32" s="909"/>
      <c r="U32" s="909"/>
      <c r="V32" s="909"/>
      <c r="W32" s="909"/>
      <c r="X32" s="909"/>
      <c r="Y32" s="909"/>
      <c r="Z32" s="909"/>
      <c r="AA32" s="909"/>
      <c r="AB32" s="910"/>
      <c r="AD32" s="20"/>
    </row>
    <row r="33" spans="1:30" ht="16.5" customHeight="1" thickBot="1" x14ac:dyDescent="0.3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393"/>
      <c r="S33" s="17"/>
      <c r="T33" s="17"/>
      <c r="AD33" s="20"/>
    </row>
    <row r="34" spans="1:30" ht="27" customHeight="1" x14ac:dyDescent="0.3">
      <c r="B34" s="884" t="s">
        <v>269</v>
      </c>
      <c r="C34" s="761"/>
      <c r="D34" s="761"/>
      <c r="E34" s="761"/>
      <c r="F34" s="761"/>
      <c r="G34" s="900"/>
      <c r="H34" s="884"/>
      <c r="I34" s="761"/>
      <c r="J34" s="900"/>
      <c r="K34" s="873" t="s">
        <v>424</v>
      </c>
      <c r="L34" s="774"/>
      <c r="M34" s="872" t="s">
        <v>423</v>
      </c>
      <c r="N34" s="873"/>
      <c r="O34" s="873"/>
      <c r="P34" s="872"/>
      <c r="Q34" s="873"/>
      <c r="R34" s="874" t="s">
        <v>346</v>
      </c>
      <c r="S34" s="875"/>
      <c r="T34" s="850"/>
      <c r="U34" s="850"/>
      <c r="V34" s="850"/>
      <c r="W34" s="850"/>
      <c r="X34" s="850"/>
      <c r="Y34" s="850"/>
      <c r="Z34" s="850"/>
      <c r="AA34" s="850"/>
      <c r="AB34" s="862"/>
      <c r="AD34" s="20"/>
    </row>
    <row r="35" spans="1:30" ht="28.5" customHeight="1" x14ac:dyDescent="0.3">
      <c r="B35" s="878" t="s">
        <v>61</v>
      </c>
      <c r="C35" s="731"/>
      <c r="D35" s="731"/>
      <c r="E35" s="731"/>
      <c r="F35" s="731"/>
      <c r="G35" s="732"/>
      <c r="H35" s="878"/>
      <c r="I35" s="731"/>
      <c r="J35" s="732"/>
      <c r="K35" s="800" t="s">
        <v>56</v>
      </c>
      <c r="L35" s="852"/>
      <c r="M35" s="895" t="s">
        <v>56</v>
      </c>
      <c r="N35" s="800"/>
      <c r="O35" s="800"/>
      <c r="P35" s="727"/>
      <c r="Q35" s="728"/>
      <c r="R35" s="851" t="s">
        <v>333</v>
      </c>
      <c r="S35" s="872" t="s">
        <v>330</v>
      </c>
      <c r="T35" s="897" t="s">
        <v>336</v>
      </c>
      <c r="U35" s="897"/>
      <c r="V35" s="897"/>
      <c r="W35" s="897"/>
      <c r="X35" s="897"/>
      <c r="Y35" s="897"/>
      <c r="Z35" s="897"/>
      <c r="AA35" s="897"/>
      <c r="AB35" s="905"/>
      <c r="AC35" s="21"/>
      <c r="AD35" s="166"/>
    </row>
    <row r="36" spans="1:30" ht="21" customHeight="1" x14ac:dyDescent="0.3">
      <c r="B36" s="370" t="s">
        <v>238</v>
      </c>
      <c r="C36" s="175" t="s">
        <v>235</v>
      </c>
      <c r="D36" s="34" t="s">
        <v>234</v>
      </c>
      <c r="E36" s="176" t="s">
        <v>226</v>
      </c>
      <c r="F36" s="34" t="s">
        <v>236</v>
      </c>
      <c r="G36" s="307"/>
      <c r="H36" s="878"/>
      <c r="I36" s="731"/>
      <c r="J36" s="732"/>
      <c r="K36" s="901">
        <f>'Kat. 1 U-Wert'!F88</f>
        <v>1</v>
      </c>
      <c r="L36" s="902"/>
      <c r="M36" s="904">
        <f>M18</f>
        <v>2</v>
      </c>
      <c r="N36" s="890"/>
      <c r="O36" s="890"/>
      <c r="P36" s="727"/>
      <c r="Q36" s="728"/>
      <c r="R36" s="866"/>
      <c r="S36" s="895"/>
      <c r="T36" s="897"/>
      <c r="U36" s="897"/>
      <c r="V36" s="897"/>
      <c r="W36" s="897"/>
      <c r="X36" s="897"/>
      <c r="Y36" s="897"/>
      <c r="Z36" s="897"/>
      <c r="AA36" s="897"/>
      <c r="AB36" s="905"/>
      <c r="AC36" s="21"/>
      <c r="AD36" s="166"/>
    </row>
    <row r="37" spans="1:30" ht="30.75" customHeight="1" x14ac:dyDescent="0.3">
      <c r="B37" s="371">
        <f>D37*F37</f>
        <v>0</v>
      </c>
      <c r="C37" s="175" t="s">
        <v>235</v>
      </c>
      <c r="D37" s="399">
        <f>K36</f>
        <v>1</v>
      </c>
      <c r="E37" s="176" t="s">
        <v>226</v>
      </c>
      <c r="F37" s="199">
        <f>M16</f>
        <v>0</v>
      </c>
      <c r="G37" s="169"/>
      <c r="H37" s="878"/>
      <c r="I37" s="731"/>
      <c r="J37" s="732"/>
      <c r="K37" s="903" t="s">
        <v>430</v>
      </c>
      <c r="L37" s="897"/>
      <c r="M37" s="889" t="s">
        <v>428</v>
      </c>
      <c r="N37" s="890"/>
      <c r="O37" s="890"/>
      <c r="P37" s="727"/>
      <c r="Q37" s="728"/>
      <c r="R37" s="898" t="s">
        <v>334</v>
      </c>
      <c r="S37" s="872" t="s">
        <v>335</v>
      </c>
      <c r="T37" s="897" t="s">
        <v>337</v>
      </c>
      <c r="U37" s="897"/>
      <c r="V37" s="897"/>
      <c r="W37" s="897"/>
      <c r="X37" s="897"/>
      <c r="Y37" s="897"/>
      <c r="Z37" s="897"/>
      <c r="AA37" s="897"/>
      <c r="AB37" s="905"/>
      <c r="AC37" s="21"/>
      <c r="AD37" s="166"/>
    </row>
    <row r="38" spans="1:30" ht="15" customHeight="1" thickBot="1" x14ac:dyDescent="0.35">
      <c r="B38" s="370"/>
      <c r="C38" s="175"/>
      <c r="D38" s="34"/>
      <c r="E38" s="176"/>
      <c r="F38" s="34"/>
      <c r="G38" s="169"/>
      <c r="H38" s="878"/>
      <c r="I38" s="731"/>
      <c r="J38" s="732"/>
      <c r="K38" s="34"/>
      <c r="L38" s="14"/>
      <c r="M38" s="14"/>
      <c r="N38" s="14"/>
      <c r="O38" s="14"/>
      <c r="P38" s="727"/>
      <c r="Q38" s="728"/>
      <c r="R38" s="899"/>
      <c r="S38" s="736"/>
      <c r="T38" s="906"/>
      <c r="U38" s="906"/>
      <c r="V38" s="906"/>
      <c r="W38" s="906"/>
      <c r="X38" s="906"/>
      <c r="Y38" s="906"/>
      <c r="Z38" s="906"/>
      <c r="AA38" s="906"/>
      <c r="AB38" s="907"/>
      <c r="AC38" s="21"/>
      <c r="AD38" s="166"/>
    </row>
    <row r="39" spans="1:30" ht="15" thickBot="1" x14ac:dyDescent="0.35">
      <c r="B39" s="908" t="s">
        <v>288</v>
      </c>
      <c r="C39" s="909"/>
      <c r="D39" s="909"/>
      <c r="E39" s="909"/>
      <c r="F39" s="909"/>
      <c r="G39" s="909"/>
      <c r="H39" s="909"/>
      <c r="I39" s="909"/>
      <c r="J39" s="909"/>
      <c r="K39" s="909"/>
      <c r="L39" s="909"/>
      <c r="M39" s="909"/>
      <c r="N39" s="909"/>
      <c r="O39" s="909"/>
      <c r="P39" s="909"/>
      <c r="Q39" s="909"/>
      <c r="R39" s="909"/>
      <c r="S39" s="909"/>
      <c r="T39" s="909"/>
      <c r="U39" s="909"/>
      <c r="V39" s="909"/>
      <c r="W39" s="909"/>
      <c r="X39" s="909"/>
      <c r="Y39" s="909"/>
      <c r="Z39" s="909"/>
      <c r="AA39" s="909"/>
      <c r="AB39" s="910"/>
      <c r="AD39" s="20"/>
    </row>
    <row r="40" spans="1:30" ht="15" thickBot="1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</row>
  </sheetData>
  <mergeCells count="84">
    <mergeCell ref="T35:AB36"/>
    <mergeCell ref="T37:AB38"/>
    <mergeCell ref="B39:AB39"/>
    <mergeCell ref="A3:B3"/>
    <mergeCell ref="A4:B4"/>
    <mergeCell ref="B32:AB32"/>
    <mergeCell ref="S25:S26"/>
    <mergeCell ref="S27:S28"/>
    <mergeCell ref="S29:S31"/>
    <mergeCell ref="S35:S36"/>
    <mergeCell ref="S37:S38"/>
    <mergeCell ref="R34:S34"/>
    <mergeCell ref="T25:AB26"/>
    <mergeCell ref="T27:AB28"/>
    <mergeCell ref="T29:AB31"/>
    <mergeCell ref="K34:L34"/>
    <mergeCell ref="P34:Q38"/>
    <mergeCell ref="B35:G35"/>
    <mergeCell ref="R35:R36"/>
    <mergeCell ref="R37:R38"/>
    <mergeCell ref="M34:O34"/>
    <mergeCell ref="B34:G34"/>
    <mergeCell ref="K35:L35"/>
    <mergeCell ref="K36:L36"/>
    <mergeCell ref="K37:L37"/>
    <mergeCell ref="H34:J38"/>
    <mergeCell ref="M35:O35"/>
    <mergeCell ref="M36:O36"/>
    <mergeCell ref="M37:O37"/>
    <mergeCell ref="P27:Q27"/>
    <mergeCell ref="H26:J26"/>
    <mergeCell ref="H27:J27"/>
    <mergeCell ref="K24:L24"/>
    <mergeCell ref="K25:L25"/>
    <mergeCell ref="K26:L26"/>
    <mergeCell ref="K27:L27"/>
    <mergeCell ref="M25:O25"/>
    <mergeCell ref="M26:O26"/>
    <mergeCell ref="M27:O27"/>
    <mergeCell ref="H29:I29"/>
    <mergeCell ref="R29:R31"/>
    <mergeCell ref="H30:I30"/>
    <mergeCell ref="K29:L29"/>
    <mergeCell ref="K30:L30"/>
    <mergeCell ref="N29:O29"/>
    <mergeCell ref="N30:O30"/>
    <mergeCell ref="B25:G25"/>
    <mergeCell ref="R25:R26"/>
    <mergeCell ref="H25:J25"/>
    <mergeCell ref="T8:AB8"/>
    <mergeCell ref="T17:X17"/>
    <mergeCell ref="B24:G24"/>
    <mergeCell ref="C15:J15"/>
    <mergeCell ref="P3:Q13"/>
    <mergeCell ref="C3:J3"/>
    <mergeCell ref="K3:O3"/>
    <mergeCell ref="K5:O5"/>
    <mergeCell ref="M4:N4"/>
    <mergeCell ref="C5:J5"/>
    <mergeCell ref="K15:O15"/>
    <mergeCell ref="K17:O17"/>
    <mergeCell ref="P15:Q20"/>
    <mergeCell ref="T34:AB34"/>
    <mergeCell ref="AE5:AE13"/>
    <mergeCell ref="R22:S22"/>
    <mergeCell ref="T22:AB22"/>
    <mergeCell ref="T6:W6"/>
    <mergeCell ref="Z6:AA6"/>
    <mergeCell ref="T7:W7"/>
    <mergeCell ref="R27:R28"/>
    <mergeCell ref="C14:AB14"/>
    <mergeCell ref="H24:J24"/>
    <mergeCell ref="M24:O24"/>
    <mergeCell ref="R24:S24"/>
    <mergeCell ref="T24:AB24"/>
    <mergeCell ref="P24:Q24"/>
    <mergeCell ref="P25:Q25"/>
    <mergeCell ref="P26:Q26"/>
    <mergeCell ref="R2:S2"/>
    <mergeCell ref="T2:AB2"/>
    <mergeCell ref="T18:AB18"/>
    <mergeCell ref="T19:AB19"/>
    <mergeCell ref="T20:AB20"/>
    <mergeCell ref="Z7:AA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3157-1B96-4AAA-A21D-378F8DBD58C3}">
  <dimension ref="A1:AD26"/>
  <sheetViews>
    <sheetView zoomScaleNormal="100" workbookViewId="0"/>
  </sheetViews>
  <sheetFormatPr baseColWidth="10" defaultRowHeight="14.4" outlineLevelCol="1" x14ac:dyDescent="0.3"/>
  <cols>
    <col min="1" max="1" width="3.5546875" customWidth="1" outlineLevel="1"/>
    <col min="2" max="2" width="6" customWidth="1" outlineLevel="1"/>
    <col min="3" max="3" width="1.88671875" customWidth="1" outlineLevel="1"/>
    <col min="4" max="4" width="6.33203125" customWidth="1" outlineLevel="1"/>
    <col min="5" max="5" width="1.88671875" customWidth="1" outlineLevel="1"/>
    <col min="6" max="6" width="5.109375" customWidth="1" outlineLevel="1"/>
    <col min="7" max="7" width="1.6640625" customWidth="1" outlineLevel="1"/>
    <col min="8" max="8" width="6.5546875" customWidth="1" outlineLevel="1"/>
    <col min="9" max="9" width="1.44140625" customWidth="1" outlineLevel="1"/>
    <col min="10" max="10" width="5.88671875" customWidth="1" outlineLevel="1"/>
    <col min="11" max="11" width="8.109375" customWidth="1" outlineLevel="1"/>
    <col min="12" max="12" width="2.5546875" customWidth="1" outlineLevel="1"/>
    <col min="13" max="13" width="5.5546875" customWidth="1" outlineLevel="1"/>
    <col min="14" max="14" width="2.5546875" customWidth="1" outlineLevel="1"/>
    <col min="15" max="15" width="6.5546875" customWidth="1" outlineLevel="1"/>
    <col min="16" max="16" width="1.6640625" customWidth="1" outlineLevel="1"/>
    <col min="17" max="17" width="12.44140625" customWidth="1" outlineLevel="1"/>
    <col min="18" max="18" width="39.88671875" customWidth="1" outlineLevel="1"/>
    <col min="19" max="19" width="17.6640625" customWidth="1" outlineLevel="1"/>
    <col min="20" max="20" width="13.44140625" customWidth="1"/>
    <col min="21" max="21" width="2" customWidth="1"/>
    <col min="22" max="22" width="7.5546875" customWidth="1"/>
    <col min="23" max="23" width="2.6640625" customWidth="1"/>
    <col min="25" max="25" width="3.6640625" customWidth="1"/>
    <col min="26" max="26" width="12.33203125" customWidth="1"/>
    <col min="27" max="27" width="2.6640625" customWidth="1"/>
    <col min="28" max="28" width="13.109375" customWidth="1"/>
    <col min="29" max="29" width="2" customWidth="1"/>
    <col min="30" max="30" width="16.88671875" customWidth="1"/>
    <col min="31" max="31" width="19.5546875" customWidth="1"/>
  </cols>
  <sheetData>
    <row r="1" spans="1:30" ht="15" thickBot="1" x14ac:dyDescent="0.35"/>
    <row r="2" spans="1:30" ht="16.2" thickBot="1" x14ac:dyDescent="0.35">
      <c r="R2" s="921" t="s">
        <v>0</v>
      </c>
      <c r="S2" s="922"/>
      <c r="T2" s="921" t="s">
        <v>1</v>
      </c>
      <c r="U2" s="923"/>
      <c r="V2" s="923"/>
      <c r="W2" s="923"/>
      <c r="X2" s="923"/>
      <c r="Y2" s="923"/>
      <c r="Z2" s="923"/>
      <c r="AA2" s="923"/>
      <c r="AB2" s="922"/>
    </row>
    <row r="3" spans="1:30" ht="25.5" customHeight="1" x14ac:dyDescent="0.3">
      <c r="A3" s="752"/>
      <c r="B3" s="779"/>
      <c r="C3" s="752" t="s">
        <v>57</v>
      </c>
      <c r="D3" s="752"/>
      <c r="E3" s="752"/>
      <c r="F3" s="752"/>
      <c r="G3" s="752"/>
      <c r="H3" s="752"/>
      <c r="I3" s="752"/>
      <c r="J3" s="779"/>
      <c r="K3" s="752" t="s">
        <v>225</v>
      </c>
      <c r="L3" s="752"/>
      <c r="M3" s="752"/>
      <c r="N3" s="752"/>
      <c r="O3" s="779"/>
      <c r="P3" s="751"/>
      <c r="Q3" s="779"/>
      <c r="R3" s="768" t="s">
        <v>350</v>
      </c>
      <c r="S3" s="769"/>
      <c r="T3" s="100" t="s">
        <v>107</v>
      </c>
      <c r="U3" s="170"/>
      <c r="V3" s="170"/>
      <c r="W3" s="170"/>
      <c r="X3" s="172" t="s">
        <v>239</v>
      </c>
      <c r="Y3" s="170"/>
      <c r="Z3" s="291">
        <v>77</v>
      </c>
      <c r="AA3" s="170" t="s">
        <v>54</v>
      </c>
      <c r="AB3" s="171"/>
    </row>
    <row r="4" spans="1:30" ht="19.5" customHeight="1" x14ac:dyDescent="0.3">
      <c r="A4" s="728"/>
      <c r="B4" s="782"/>
      <c r="C4" s="34"/>
      <c r="D4" s="21"/>
      <c r="E4" s="21"/>
      <c r="F4" s="21"/>
      <c r="G4" s="21"/>
      <c r="H4" s="21"/>
      <c r="I4" s="21"/>
      <c r="J4" s="166"/>
      <c r="K4" s="251" t="s">
        <v>341</v>
      </c>
      <c r="L4" s="236" t="s">
        <v>235</v>
      </c>
      <c r="M4" s="21">
        <f>Z3</f>
        <v>77</v>
      </c>
      <c r="N4" s="21"/>
      <c r="O4" s="166"/>
      <c r="P4" s="730"/>
      <c r="Q4" s="754"/>
      <c r="R4" s="835"/>
      <c r="S4" s="836"/>
      <c r="T4" s="59"/>
      <c r="U4" s="10"/>
      <c r="V4" s="173"/>
      <c r="W4" s="10"/>
      <c r="X4" s="10"/>
      <c r="Y4" s="10"/>
      <c r="Z4" s="174"/>
      <c r="AA4" s="10"/>
      <c r="AB4" s="45"/>
    </row>
    <row r="5" spans="1:30" ht="18.75" customHeight="1" x14ac:dyDescent="0.3">
      <c r="A5" s="731"/>
      <c r="B5" s="754"/>
      <c r="C5" s="731" t="s">
        <v>61</v>
      </c>
      <c r="D5" s="731"/>
      <c r="E5" s="731"/>
      <c r="F5" s="731"/>
      <c r="G5" s="731"/>
      <c r="H5" s="731"/>
      <c r="I5" s="731"/>
      <c r="J5" s="754"/>
      <c r="K5" s="761" t="s">
        <v>101</v>
      </c>
      <c r="L5" s="761"/>
      <c r="M5" s="761"/>
      <c r="N5" s="761"/>
      <c r="O5" s="762"/>
      <c r="P5" s="730"/>
      <c r="Q5" s="754"/>
      <c r="R5" s="837" t="s">
        <v>338</v>
      </c>
      <c r="S5" s="813"/>
      <c r="T5" s="837" t="s">
        <v>108</v>
      </c>
      <c r="U5" s="812"/>
      <c r="V5" s="812"/>
      <c r="W5" s="812"/>
      <c r="X5" s="812"/>
      <c r="Y5" s="812"/>
      <c r="Z5" s="812"/>
      <c r="AA5" s="812"/>
      <c r="AB5" s="813"/>
    </row>
    <row r="6" spans="1:30" ht="18" customHeight="1" x14ac:dyDescent="0.3">
      <c r="A6" s="21"/>
      <c r="B6" s="166"/>
      <c r="C6" s="21"/>
      <c r="D6" s="251" t="s">
        <v>238</v>
      </c>
      <c r="E6" s="175" t="s">
        <v>235</v>
      </c>
      <c r="F6" s="34" t="s">
        <v>234</v>
      </c>
      <c r="G6" s="176" t="s">
        <v>226</v>
      </c>
      <c r="H6" s="250" t="s">
        <v>236</v>
      </c>
      <c r="J6" s="20"/>
      <c r="K6" s="251" t="s">
        <v>234</v>
      </c>
      <c r="L6" s="252" t="s">
        <v>235</v>
      </c>
      <c r="M6" s="252" t="s">
        <v>268</v>
      </c>
      <c r="N6" s="34" t="s">
        <v>228</v>
      </c>
      <c r="O6" s="158" t="s">
        <v>266</v>
      </c>
      <c r="P6" s="730"/>
      <c r="Q6" s="754"/>
      <c r="R6" s="48" t="s">
        <v>362</v>
      </c>
      <c r="S6" s="20"/>
      <c r="T6" s="755" t="str">
        <f>'Kat. 1 U-Wert'!B12</f>
        <v>Massive Decke</v>
      </c>
      <c r="U6" s="765"/>
      <c r="V6" s="765"/>
      <c r="W6" s="765"/>
      <c r="X6" s="765"/>
      <c r="Y6" s="765" t="s">
        <v>358</v>
      </c>
      <c r="Z6" s="765"/>
      <c r="AA6" s="765"/>
      <c r="AB6" s="815">
        <f>'Kat. 1 U-Wert'!F13</f>
        <v>0.7</v>
      </c>
    </row>
    <row r="7" spans="1:30" ht="18" customHeight="1" x14ac:dyDescent="0.3">
      <c r="A7" s="21"/>
      <c r="B7" s="166"/>
      <c r="C7" s="21"/>
      <c r="D7" s="296">
        <f>F7*H7</f>
        <v>53.9</v>
      </c>
      <c r="E7" s="175" t="s">
        <v>235</v>
      </c>
      <c r="F7" s="297">
        <f>K7</f>
        <v>0.7</v>
      </c>
      <c r="G7" s="176" t="s">
        <v>226</v>
      </c>
      <c r="H7" s="250">
        <f>M4</f>
        <v>77</v>
      </c>
      <c r="J7" s="20"/>
      <c r="K7" s="354">
        <f>M7/O7</f>
        <v>0.7</v>
      </c>
      <c r="L7" s="252" t="s">
        <v>235</v>
      </c>
      <c r="M7" s="211">
        <v>1</v>
      </c>
      <c r="N7" s="34" t="s">
        <v>228</v>
      </c>
      <c r="O7" s="289">
        <f>X14+Z14</f>
        <v>1.4285714285714286</v>
      </c>
      <c r="P7" s="730"/>
      <c r="Q7" s="754"/>
      <c r="R7" s="57" t="str">
        <f>'Kat. 1 U-Wert'!B12</f>
        <v>Massive Decke</v>
      </c>
      <c r="S7" s="79" t="s">
        <v>356</v>
      </c>
      <c r="T7" s="755" t="str">
        <f>'Kat. 1 U-Wert'!B13</f>
        <v>Holzbalkendecke</v>
      </c>
      <c r="U7" s="765"/>
      <c r="V7" s="765"/>
      <c r="W7" s="765"/>
      <c r="X7" s="765"/>
      <c r="Y7" s="765" t="s">
        <v>358</v>
      </c>
      <c r="Z7" s="765"/>
      <c r="AA7" s="765"/>
      <c r="AB7" s="815"/>
    </row>
    <row r="8" spans="1:30" ht="18" customHeight="1" thickBot="1" x14ac:dyDescent="0.35">
      <c r="A8" s="213"/>
      <c r="B8" s="214"/>
      <c r="C8" s="213"/>
      <c r="D8" s="132"/>
      <c r="E8" s="132"/>
      <c r="F8" s="132"/>
      <c r="G8" s="132"/>
      <c r="H8" s="132"/>
      <c r="I8" s="132"/>
      <c r="J8" s="215"/>
      <c r="K8" s="355"/>
      <c r="L8" s="229"/>
      <c r="M8" s="132"/>
      <c r="N8" s="132"/>
      <c r="O8" s="215"/>
      <c r="P8" s="733"/>
      <c r="Q8" s="817"/>
      <c r="R8" s="216" t="str">
        <f>'Kat. 1 U-Wert'!B13</f>
        <v>Holzbalkendecke</v>
      </c>
      <c r="S8" s="222" t="s">
        <v>357</v>
      </c>
      <c r="T8" s="755" t="s">
        <v>96</v>
      </c>
      <c r="U8" s="765"/>
      <c r="V8" s="765"/>
      <c r="W8" s="765"/>
      <c r="X8" s="178">
        <v>0</v>
      </c>
      <c r="Y8" s="14" t="s">
        <v>230</v>
      </c>
      <c r="Z8" s="15" t="s">
        <v>232</v>
      </c>
      <c r="AA8" s="15"/>
      <c r="AB8" s="277">
        <v>3.2000000000000001E-2</v>
      </c>
    </row>
    <row r="9" spans="1:30" ht="15.6" x14ac:dyDescent="0.3">
      <c r="A9" s="34"/>
      <c r="B9" s="34"/>
      <c r="C9" s="34"/>
      <c r="T9" s="249" t="s">
        <v>405</v>
      </c>
      <c r="U9" s="184" t="s">
        <v>235</v>
      </c>
      <c r="V9" s="185" t="s">
        <v>262</v>
      </c>
      <c r="W9" s="184" t="s">
        <v>233</v>
      </c>
      <c r="X9" s="36" t="s">
        <v>227</v>
      </c>
      <c r="Y9" s="36" t="s">
        <v>228</v>
      </c>
      <c r="Z9" s="36" t="s">
        <v>265</v>
      </c>
      <c r="AA9" s="204" t="s">
        <v>233</v>
      </c>
      <c r="AB9" s="278" t="s">
        <v>263</v>
      </c>
      <c r="AC9" s="198"/>
    </row>
    <row r="10" spans="1:30" x14ac:dyDescent="0.3">
      <c r="T10" s="281">
        <f>V10+(X10/Z10)+AB10</f>
        <v>0</v>
      </c>
      <c r="U10" s="188" t="s">
        <v>235</v>
      </c>
      <c r="V10" s="189">
        <f>IF(X8&gt;0,'Kat. 1 U-Wert'!C51,0)</f>
        <v>0</v>
      </c>
      <c r="W10" s="190" t="s">
        <v>233</v>
      </c>
      <c r="X10" s="189">
        <f>X8</f>
        <v>0</v>
      </c>
      <c r="Y10" s="67" t="s">
        <v>228</v>
      </c>
      <c r="Z10" s="191">
        <f>AB8</f>
        <v>3.2000000000000001E-2</v>
      </c>
      <c r="AA10" s="188" t="s">
        <v>233</v>
      </c>
      <c r="AB10" s="279">
        <f>IF(X8&gt;0,'Kat. 1 U-Wert'!C52,0)</f>
        <v>0</v>
      </c>
      <c r="AC10" s="182"/>
      <c r="AD10" s="199"/>
    </row>
    <row r="11" spans="1:30" ht="15.6" x14ac:dyDescent="0.3">
      <c r="T11" s="249" t="s">
        <v>404</v>
      </c>
      <c r="U11" s="204" t="s">
        <v>235</v>
      </c>
      <c r="V11" s="36">
        <v>1</v>
      </c>
      <c r="W11" s="36" t="s">
        <v>228</v>
      </c>
      <c r="X11" s="758" t="s">
        <v>358</v>
      </c>
      <c r="Y11" s="758"/>
      <c r="Z11" s="758"/>
      <c r="AA11" s="39"/>
      <c r="AB11" s="278"/>
    </row>
    <row r="12" spans="1:30" x14ac:dyDescent="0.3">
      <c r="T12" s="282">
        <f>V12/X12</f>
        <v>1.4285714285714286</v>
      </c>
      <c r="U12" s="188" t="s">
        <v>235</v>
      </c>
      <c r="V12" s="67">
        <v>1</v>
      </c>
      <c r="W12" s="67" t="s">
        <v>228</v>
      </c>
      <c r="X12" s="759">
        <f>AB6</f>
        <v>0.7</v>
      </c>
      <c r="Y12" s="759"/>
      <c r="Z12" s="759"/>
      <c r="AA12" s="40"/>
      <c r="AB12" s="280"/>
    </row>
    <row r="13" spans="1:30" ht="15.6" x14ac:dyDescent="0.3">
      <c r="T13" s="249" t="s">
        <v>403</v>
      </c>
      <c r="U13" s="204" t="s">
        <v>235</v>
      </c>
      <c r="V13" s="36"/>
      <c r="W13" s="36"/>
      <c r="X13" s="36" t="s">
        <v>406</v>
      </c>
      <c r="Y13" s="284" t="s">
        <v>233</v>
      </c>
      <c r="Z13" s="36" t="s">
        <v>407</v>
      </c>
      <c r="AA13" s="39"/>
      <c r="AB13" s="278"/>
    </row>
    <row r="14" spans="1:30" x14ac:dyDescent="0.3">
      <c r="T14" s="288">
        <f>X14+Z14</f>
        <v>1.4285714285714286</v>
      </c>
      <c r="U14" s="188" t="s">
        <v>235</v>
      </c>
      <c r="V14" s="67"/>
      <c r="W14" s="67"/>
      <c r="X14" s="285">
        <f>T12</f>
        <v>1.4285714285714286</v>
      </c>
      <c r="Y14" s="286" t="s">
        <v>233</v>
      </c>
      <c r="Z14" s="287">
        <f>T10</f>
        <v>0</v>
      </c>
      <c r="AA14" s="40"/>
      <c r="AB14" s="280"/>
    </row>
    <row r="15" spans="1:30" ht="15" thickBot="1" x14ac:dyDescent="0.35"/>
    <row r="16" spans="1:30" ht="15" thickBot="1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8"/>
    </row>
    <row r="17" spans="1:30" ht="31.5" customHeight="1" x14ac:dyDescent="0.3">
      <c r="B17" s="884" t="s">
        <v>359</v>
      </c>
      <c r="C17" s="761"/>
      <c r="D17" s="761"/>
      <c r="E17" s="761"/>
      <c r="F17" s="761"/>
      <c r="G17" s="900"/>
      <c r="H17" s="870" t="s">
        <v>429</v>
      </c>
      <c r="I17" s="870"/>
      <c r="J17" s="870"/>
      <c r="K17" s="872" t="s">
        <v>424</v>
      </c>
      <c r="L17" s="774"/>
      <c r="M17" s="872" t="s">
        <v>423</v>
      </c>
      <c r="N17" s="873"/>
      <c r="O17" s="774"/>
      <c r="P17" s="872" t="s">
        <v>425</v>
      </c>
      <c r="Q17" s="873"/>
      <c r="R17" s="874" t="s">
        <v>353</v>
      </c>
      <c r="S17" s="875"/>
      <c r="T17" s="920"/>
      <c r="U17" s="924"/>
      <c r="V17" s="925"/>
      <c r="W17" s="925"/>
      <c r="X17" s="925"/>
      <c r="Y17" s="925"/>
      <c r="Z17" s="925"/>
      <c r="AA17" s="925"/>
      <c r="AB17" s="926"/>
      <c r="AD17" s="20"/>
    </row>
    <row r="18" spans="1:30" ht="25.5" customHeight="1" x14ac:dyDescent="0.3">
      <c r="B18" s="878" t="s">
        <v>61</v>
      </c>
      <c r="C18" s="731"/>
      <c r="D18" s="731"/>
      <c r="E18" s="731"/>
      <c r="F18" s="731"/>
      <c r="G18" s="732"/>
      <c r="H18" s="880" t="s">
        <v>230</v>
      </c>
      <c r="I18" s="880"/>
      <c r="J18" s="880"/>
      <c r="K18" s="895" t="s">
        <v>56</v>
      </c>
      <c r="L18" s="852"/>
      <c r="M18" s="895" t="s">
        <v>56</v>
      </c>
      <c r="N18" s="800"/>
      <c r="O18" s="852"/>
      <c r="P18" s="895" t="s">
        <v>426</v>
      </c>
      <c r="Q18" s="800"/>
      <c r="R18" s="851" t="s">
        <v>360</v>
      </c>
      <c r="S18" s="872" t="s">
        <v>330</v>
      </c>
      <c r="T18" s="774"/>
      <c r="U18" s="884" t="s">
        <v>366</v>
      </c>
      <c r="V18" s="761"/>
      <c r="W18" s="761"/>
      <c r="X18" s="761"/>
      <c r="Y18" s="761"/>
      <c r="Z18" s="761"/>
      <c r="AA18" s="761"/>
      <c r="AB18" s="762"/>
      <c r="AC18" s="21"/>
      <c r="AD18" s="166"/>
    </row>
    <row r="19" spans="1:30" ht="24" customHeight="1" x14ac:dyDescent="0.3">
      <c r="B19" s="370" t="s">
        <v>238</v>
      </c>
      <c r="C19" s="175" t="s">
        <v>235</v>
      </c>
      <c r="D19" s="34" t="s">
        <v>234</v>
      </c>
      <c r="E19" s="176" t="s">
        <v>226</v>
      </c>
      <c r="F19" s="34" t="s">
        <v>236</v>
      </c>
      <c r="G19" s="307"/>
      <c r="H19" s="911">
        <f>_xlfn.CEILING.MATH(H23,0.02)</f>
        <v>0.2</v>
      </c>
      <c r="I19" s="911"/>
      <c r="J19" s="911"/>
      <c r="K19" s="918">
        <f>'Kat. 1 U-Wert'!F98</f>
        <v>0.14000000000000001</v>
      </c>
      <c r="L19" s="919"/>
      <c r="M19" s="889">
        <f>K7</f>
        <v>0.7</v>
      </c>
      <c r="N19" s="890"/>
      <c r="O19" s="772"/>
      <c r="P19" s="914">
        <f>AB8</f>
        <v>3.2000000000000001E-2</v>
      </c>
      <c r="Q19" s="915"/>
      <c r="R19" s="866"/>
      <c r="S19" s="895"/>
      <c r="T19" s="852"/>
      <c r="U19" s="912"/>
      <c r="V19" s="780"/>
      <c r="W19" s="780"/>
      <c r="X19" s="780"/>
      <c r="Y19" s="780"/>
      <c r="Z19" s="780"/>
      <c r="AA19" s="780"/>
      <c r="AB19" s="781"/>
      <c r="AC19" s="21"/>
      <c r="AD19" s="166"/>
    </row>
    <row r="20" spans="1:30" ht="32.25" customHeight="1" x14ac:dyDescent="0.3">
      <c r="B20" s="387">
        <f>D20*F20</f>
        <v>10.780000000000001</v>
      </c>
      <c r="C20" s="175" t="s">
        <v>235</v>
      </c>
      <c r="D20" s="297">
        <f>K19</f>
        <v>0.14000000000000001</v>
      </c>
      <c r="E20" s="176" t="s">
        <v>226</v>
      </c>
      <c r="F20" s="34">
        <f>M4</f>
        <v>77</v>
      </c>
      <c r="G20" s="169"/>
      <c r="H20" s="880" t="s">
        <v>431</v>
      </c>
      <c r="I20" s="880"/>
      <c r="J20" s="880"/>
      <c r="K20" s="912" t="s">
        <v>430</v>
      </c>
      <c r="L20" s="917"/>
      <c r="M20" s="895" t="s">
        <v>428</v>
      </c>
      <c r="N20" s="800"/>
      <c r="O20" s="852"/>
      <c r="P20" s="889" t="s">
        <v>427</v>
      </c>
      <c r="Q20" s="890"/>
      <c r="R20" s="851" t="s">
        <v>361</v>
      </c>
      <c r="S20" s="872" t="s">
        <v>344</v>
      </c>
      <c r="T20" s="774"/>
      <c r="U20" s="884" t="s">
        <v>367</v>
      </c>
      <c r="V20" s="761"/>
      <c r="W20" s="761"/>
      <c r="X20" s="761"/>
      <c r="Y20" s="761"/>
      <c r="Z20" s="761"/>
      <c r="AA20" s="761"/>
      <c r="AB20" s="762"/>
      <c r="AC20" s="21"/>
      <c r="AD20" s="166"/>
    </row>
    <row r="21" spans="1:30" ht="18" customHeight="1" x14ac:dyDescent="0.3">
      <c r="B21" s="1"/>
      <c r="D21" s="21"/>
      <c r="E21" s="21"/>
      <c r="F21" s="21"/>
      <c r="G21" s="169"/>
      <c r="H21" s="117"/>
      <c r="I21" s="117"/>
      <c r="J21" s="117"/>
      <c r="K21" s="117"/>
      <c r="L21" s="117"/>
      <c r="M21" s="35"/>
      <c r="N21" s="35"/>
      <c r="O21" s="35"/>
      <c r="P21" s="35"/>
      <c r="Q21" s="35"/>
      <c r="R21" s="866"/>
      <c r="S21" s="895"/>
      <c r="T21" s="852"/>
      <c r="U21" s="912"/>
      <c r="V21" s="780"/>
      <c r="W21" s="780"/>
      <c r="X21" s="780"/>
      <c r="Y21" s="780"/>
      <c r="Z21" s="780"/>
      <c r="AA21" s="780"/>
      <c r="AB21" s="781"/>
      <c r="AC21" s="21"/>
      <c r="AD21" s="166"/>
    </row>
    <row r="22" spans="1:30" ht="18" customHeight="1" x14ac:dyDescent="0.3">
      <c r="B22" s="1"/>
      <c r="D22" s="34"/>
      <c r="E22" s="34"/>
      <c r="F22" s="34"/>
      <c r="G22" s="307"/>
      <c r="H22" s="761" t="s">
        <v>419</v>
      </c>
      <c r="I22" s="761"/>
      <c r="J22" s="210" t="s">
        <v>235</v>
      </c>
      <c r="K22" s="761" t="s">
        <v>420</v>
      </c>
      <c r="L22" s="761"/>
      <c r="M22" s="210" t="s">
        <v>170</v>
      </c>
      <c r="N22" s="761" t="s">
        <v>421</v>
      </c>
      <c r="O22" s="761"/>
      <c r="P22" s="210" t="s">
        <v>226</v>
      </c>
      <c r="Q22" s="37" t="s">
        <v>422</v>
      </c>
      <c r="R22" s="886" t="s">
        <v>370</v>
      </c>
      <c r="S22" s="773" t="s">
        <v>331</v>
      </c>
      <c r="T22" s="773"/>
      <c r="U22" s="884" t="s">
        <v>367</v>
      </c>
      <c r="V22" s="761"/>
      <c r="W22" s="761"/>
      <c r="X22" s="761"/>
      <c r="Y22" s="761"/>
      <c r="Z22" s="761"/>
      <c r="AA22" s="761"/>
      <c r="AB22" s="762"/>
      <c r="AC22" s="21"/>
      <c r="AD22" s="166"/>
    </row>
    <row r="23" spans="1:30" ht="17.25" customHeight="1" x14ac:dyDescent="0.3">
      <c r="B23" s="1"/>
      <c r="D23" s="34"/>
      <c r="E23" s="34"/>
      <c r="F23" s="34"/>
      <c r="G23" s="307"/>
      <c r="H23" s="888">
        <f>(K23-N23)*Q23</f>
        <v>0.18285714285714283</v>
      </c>
      <c r="I23" s="888"/>
      <c r="J23" s="236" t="s">
        <v>235</v>
      </c>
      <c r="K23" s="888">
        <f>1/K19</f>
        <v>7.1428571428571423</v>
      </c>
      <c r="L23" s="888"/>
      <c r="M23" s="236" t="s">
        <v>170</v>
      </c>
      <c r="N23" s="888">
        <f>1/K7</f>
        <v>1.4285714285714286</v>
      </c>
      <c r="O23" s="888"/>
      <c r="P23" s="236" t="s">
        <v>226</v>
      </c>
      <c r="Q23" s="369">
        <f>P19</f>
        <v>3.2000000000000001E-2</v>
      </c>
      <c r="R23" s="886"/>
      <c r="S23" s="773"/>
      <c r="T23" s="773"/>
      <c r="U23" s="878"/>
      <c r="V23" s="731"/>
      <c r="W23" s="731"/>
      <c r="X23" s="731"/>
      <c r="Y23" s="731"/>
      <c r="Z23" s="731"/>
      <c r="AA23" s="731"/>
      <c r="AB23" s="754"/>
      <c r="AC23" s="21"/>
      <c r="AD23" s="166"/>
    </row>
    <row r="24" spans="1:30" ht="17.25" customHeight="1" thickBot="1" x14ac:dyDescent="0.35">
      <c r="B24" s="1"/>
      <c r="D24" s="34"/>
      <c r="E24" s="34"/>
      <c r="F24" s="34"/>
      <c r="G24" s="307"/>
      <c r="H24" s="37"/>
      <c r="I24" s="37"/>
      <c r="J24" s="37"/>
      <c r="K24" s="36"/>
      <c r="L24" s="36"/>
      <c r="M24" s="36"/>
      <c r="N24" s="36"/>
      <c r="O24" s="36"/>
      <c r="P24" s="36"/>
      <c r="Q24" s="186"/>
      <c r="R24" s="887"/>
      <c r="S24" s="916"/>
      <c r="T24" s="916"/>
      <c r="U24" s="913"/>
      <c r="V24" s="734"/>
      <c r="W24" s="734"/>
      <c r="X24" s="734"/>
      <c r="Y24" s="734"/>
      <c r="Z24" s="734"/>
      <c r="AA24" s="734"/>
      <c r="AB24" s="817"/>
      <c r="AC24" s="21"/>
      <c r="AD24" s="166"/>
    </row>
    <row r="25" spans="1:30" ht="16.5" customHeight="1" thickBot="1" x14ac:dyDescent="0.35">
      <c r="B25" s="908" t="s">
        <v>288</v>
      </c>
      <c r="C25" s="909"/>
      <c r="D25" s="909"/>
      <c r="E25" s="909"/>
      <c r="F25" s="909"/>
      <c r="G25" s="909"/>
      <c r="H25" s="909"/>
      <c r="I25" s="909"/>
      <c r="J25" s="909"/>
      <c r="K25" s="909"/>
      <c r="L25" s="909"/>
      <c r="M25" s="909"/>
      <c r="N25" s="909"/>
      <c r="O25" s="909"/>
      <c r="P25" s="909"/>
      <c r="Q25" s="909"/>
      <c r="R25" s="909"/>
      <c r="S25" s="909"/>
      <c r="T25" s="909"/>
      <c r="U25" s="909"/>
      <c r="V25" s="909"/>
      <c r="W25" s="909"/>
      <c r="X25" s="909"/>
      <c r="Y25" s="909"/>
      <c r="Z25" s="909"/>
      <c r="AA25" s="909"/>
      <c r="AB25" s="910"/>
      <c r="AD25" s="20"/>
    </row>
    <row r="26" spans="1:30" ht="15" thickBot="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4"/>
    </row>
  </sheetData>
  <mergeCells count="57">
    <mergeCell ref="B25:AB25"/>
    <mergeCell ref="A4:B4"/>
    <mergeCell ref="X11:Z11"/>
    <mergeCell ref="X12:Z12"/>
    <mergeCell ref="T6:X6"/>
    <mergeCell ref="Y6:AA6"/>
    <mergeCell ref="R18:R19"/>
    <mergeCell ref="S18:T19"/>
    <mergeCell ref="U17:AB17"/>
    <mergeCell ref="U18:AB19"/>
    <mergeCell ref="K5:O5"/>
    <mergeCell ref="R5:S5"/>
    <mergeCell ref="T5:AB5"/>
    <mergeCell ref="P3:Q8"/>
    <mergeCell ref="T8:W8"/>
    <mergeCell ref="M17:O17"/>
    <mergeCell ref="R2:S2"/>
    <mergeCell ref="T2:AB2"/>
    <mergeCell ref="K3:O3"/>
    <mergeCell ref="R3:S4"/>
    <mergeCell ref="T7:X7"/>
    <mergeCell ref="Y7:AA7"/>
    <mergeCell ref="AB6:AB7"/>
    <mergeCell ref="P18:Q18"/>
    <mergeCell ref="P19:Q19"/>
    <mergeCell ref="S22:T24"/>
    <mergeCell ref="K20:L20"/>
    <mergeCell ref="K17:L17"/>
    <mergeCell ref="K18:L18"/>
    <mergeCell ref="K19:L19"/>
    <mergeCell ref="P17:Q17"/>
    <mergeCell ref="R17:T17"/>
    <mergeCell ref="M18:O18"/>
    <mergeCell ref="M19:O19"/>
    <mergeCell ref="R20:R21"/>
    <mergeCell ref="S20:T21"/>
    <mergeCell ref="P20:Q20"/>
    <mergeCell ref="U20:AB21"/>
    <mergeCell ref="M20:O20"/>
    <mergeCell ref="U22:AB24"/>
    <mergeCell ref="N22:O22"/>
    <mergeCell ref="K22:L22"/>
    <mergeCell ref="N23:O23"/>
    <mergeCell ref="K23:L23"/>
    <mergeCell ref="R22:R24"/>
    <mergeCell ref="H22:I22"/>
    <mergeCell ref="H23:I23"/>
    <mergeCell ref="C3:J3"/>
    <mergeCell ref="C5:J5"/>
    <mergeCell ref="B17:G17"/>
    <mergeCell ref="B18:G18"/>
    <mergeCell ref="A3:B3"/>
    <mergeCell ref="A5:B5"/>
    <mergeCell ref="H17:J17"/>
    <mergeCell ref="H18:J18"/>
    <mergeCell ref="H19:J19"/>
    <mergeCell ref="H20:J2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883-5732-48C3-85C9-27C9ACC945D1}">
  <dimension ref="A1:AH41"/>
  <sheetViews>
    <sheetView zoomScaleNormal="100" workbookViewId="0"/>
  </sheetViews>
  <sheetFormatPr baseColWidth="10" defaultRowHeight="14.4" outlineLevelCol="1" x14ac:dyDescent="0.3"/>
  <cols>
    <col min="1" max="1" width="2.33203125" customWidth="1" outlineLevel="1"/>
    <col min="2" max="2" width="4.33203125" customWidth="1" outlineLevel="1"/>
    <col min="3" max="3" width="6.6640625" customWidth="1" outlineLevel="1"/>
    <col min="4" max="4" width="2.6640625" customWidth="1" outlineLevel="1"/>
    <col min="5" max="5" width="6.33203125" customWidth="1" outlineLevel="1"/>
    <col min="6" max="6" width="2.44140625" customWidth="1" outlineLevel="1"/>
    <col min="7" max="7" width="6.44140625" customWidth="1" outlineLevel="1"/>
    <col min="8" max="8" width="2.33203125" customWidth="1" outlineLevel="1"/>
    <col min="9" max="9" width="6.44140625" customWidth="1" outlineLevel="1"/>
    <col min="10" max="10" width="2.109375" customWidth="1" outlineLevel="1"/>
    <col min="11" max="11" width="6.5546875" customWidth="1" outlineLevel="1"/>
    <col min="12" max="12" width="8.109375" customWidth="1" outlineLevel="1"/>
    <col min="13" max="13" width="2.5546875" customWidth="1" outlineLevel="1"/>
    <col min="14" max="14" width="5.5546875" customWidth="1" outlineLevel="1"/>
    <col min="15" max="15" width="3.33203125" customWidth="1" outlineLevel="1"/>
    <col min="16" max="16" width="6.33203125" customWidth="1" outlineLevel="1"/>
    <col min="17" max="17" width="2.88671875" customWidth="1" outlineLevel="1"/>
    <col min="18" max="18" width="11.44140625" outlineLevel="1"/>
    <col min="19" max="19" width="40.88671875" customWidth="1" outlineLevel="1"/>
    <col min="20" max="20" width="18.88671875" customWidth="1" outlineLevel="1"/>
    <col min="21" max="21" width="13.44140625" customWidth="1"/>
    <col min="22" max="22" width="2" customWidth="1"/>
    <col min="23" max="23" width="6.109375" customWidth="1"/>
    <col min="24" max="24" width="2.6640625" customWidth="1"/>
    <col min="26" max="26" width="3.6640625" customWidth="1"/>
    <col min="27" max="27" width="12.109375" customWidth="1"/>
    <col min="28" max="28" width="4.5546875" customWidth="1"/>
    <col min="29" max="29" width="13.109375" customWidth="1"/>
    <col min="30" max="30" width="2" customWidth="1"/>
    <col min="31" max="31" width="16.88671875" customWidth="1"/>
    <col min="32" max="32" width="19.5546875" customWidth="1"/>
  </cols>
  <sheetData>
    <row r="1" spans="1:29" ht="15" thickBot="1" x14ac:dyDescent="0.35"/>
    <row r="2" spans="1:29" ht="16.2" thickBot="1" x14ac:dyDescent="0.35">
      <c r="S2" s="921" t="s">
        <v>0</v>
      </c>
      <c r="T2" s="922"/>
      <c r="U2" s="921" t="s">
        <v>1</v>
      </c>
      <c r="V2" s="923"/>
      <c r="W2" s="923"/>
      <c r="X2" s="923"/>
      <c r="Y2" s="923"/>
      <c r="Z2" s="923"/>
      <c r="AA2" s="923"/>
      <c r="AB2" s="923"/>
      <c r="AC2" s="922"/>
    </row>
    <row r="3" spans="1:29" ht="25.5" customHeight="1" x14ac:dyDescent="0.3">
      <c r="A3" s="731"/>
      <c r="B3" s="731"/>
      <c r="C3" s="732"/>
      <c r="D3" s="751" t="s">
        <v>58</v>
      </c>
      <c r="E3" s="752"/>
      <c r="F3" s="752"/>
      <c r="G3" s="752"/>
      <c r="H3" s="752"/>
      <c r="I3" s="752"/>
      <c r="J3" s="752"/>
      <c r="K3" s="779"/>
      <c r="L3" s="751" t="s">
        <v>225</v>
      </c>
      <c r="M3" s="752"/>
      <c r="N3" s="752"/>
      <c r="O3" s="752"/>
      <c r="P3" s="779"/>
      <c r="Q3" s="751"/>
      <c r="R3" s="779"/>
      <c r="S3" s="768" t="s">
        <v>351</v>
      </c>
      <c r="T3" s="769"/>
      <c r="U3" s="170" t="s">
        <v>107</v>
      </c>
      <c r="V3" s="170"/>
      <c r="W3" s="170"/>
      <c r="X3" s="170"/>
      <c r="Y3" s="172" t="s">
        <v>239</v>
      </c>
      <c r="Z3" s="170"/>
      <c r="AA3" s="313">
        <v>212</v>
      </c>
      <c r="AB3" s="170" t="s">
        <v>54</v>
      </c>
      <c r="AC3" s="171"/>
    </row>
    <row r="4" spans="1:29" ht="19.5" customHeight="1" x14ac:dyDescent="0.3">
      <c r="A4" s="728"/>
      <c r="B4" s="728"/>
      <c r="C4" s="729"/>
      <c r="D4" s="730"/>
      <c r="E4" s="731"/>
      <c r="F4" s="731"/>
      <c r="G4" s="731"/>
      <c r="H4" s="731"/>
      <c r="I4" s="731"/>
      <c r="J4" s="731"/>
      <c r="K4" s="754"/>
      <c r="L4" s="207" t="s">
        <v>341</v>
      </c>
      <c r="M4" s="236" t="s">
        <v>235</v>
      </c>
      <c r="N4" s="312">
        <f>AA4</f>
        <v>169.6</v>
      </c>
      <c r="O4" s="103"/>
      <c r="P4" s="228"/>
      <c r="Q4" s="730"/>
      <c r="R4" s="754"/>
      <c r="S4" s="835"/>
      <c r="T4" s="836"/>
      <c r="U4" s="93" t="s">
        <v>339</v>
      </c>
      <c r="V4" s="10"/>
      <c r="W4" s="173"/>
      <c r="X4" s="10"/>
      <c r="Y4" s="10"/>
      <c r="Z4" s="10"/>
      <c r="AA4" s="174">
        <f>AA3-AA16</f>
        <v>169.6</v>
      </c>
      <c r="AB4" s="10" t="s">
        <v>54</v>
      </c>
      <c r="AC4" s="45"/>
    </row>
    <row r="5" spans="1:29" ht="18.75" customHeight="1" x14ac:dyDescent="0.3">
      <c r="A5" s="731"/>
      <c r="B5" s="731"/>
      <c r="C5" s="34"/>
      <c r="D5" s="19"/>
      <c r="K5" s="20"/>
      <c r="L5" s="730" t="s">
        <v>101</v>
      </c>
      <c r="M5" s="731"/>
      <c r="N5" s="731"/>
      <c r="O5" s="731"/>
      <c r="P5" s="754"/>
      <c r="Q5" s="730"/>
      <c r="R5" s="754"/>
      <c r="S5" s="837" t="s">
        <v>338</v>
      </c>
      <c r="T5" s="813"/>
      <c r="U5" s="812" t="s">
        <v>108</v>
      </c>
      <c r="V5" s="812"/>
      <c r="W5" s="812"/>
      <c r="X5" s="812"/>
      <c r="Y5" s="812"/>
      <c r="Z5" s="812"/>
      <c r="AA5" s="812"/>
      <c r="AB5" s="812"/>
      <c r="AC5" s="813"/>
    </row>
    <row r="6" spans="1:29" ht="18" customHeight="1" x14ac:dyDescent="0.3">
      <c r="A6" s="21"/>
      <c r="B6" s="21"/>
      <c r="C6" s="21"/>
      <c r="D6" s="730" t="s">
        <v>61</v>
      </c>
      <c r="E6" s="731"/>
      <c r="F6" s="731"/>
      <c r="G6" s="731"/>
      <c r="H6" s="731"/>
      <c r="I6" s="731"/>
      <c r="J6" s="731"/>
      <c r="K6" s="754"/>
      <c r="L6" s="91">
        <f>ROUND(N6/P6,3)</f>
        <v>1.4</v>
      </c>
      <c r="M6" s="175" t="s">
        <v>235</v>
      </c>
      <c r="N6" s="283">
        <v>1</v>
      </c>
      <c r="O6" s="34" t="s">
        <v>228</v>
      </c>
      <c r="P6" s="226">
        <f>U14</f>
        <v>0.7142857142857143</v>
      </c>
      <c r="Q6" s="730"/>
      <c r="R6" s="754"/>
      <c r="S6" s="57" t="s">
        <v>399</v>
      </c>
      <c r="T6" s="79" t="s">
        <v>400</v>
      </c>
      <c r="U6" s="765" t="s">
        <v>374</v>
      </c>
      <c r="V6" s="765"/>
      <c r="W6" s="765"/>
      <c r="X6" s="765"/>
      <c r="Y6" s="765"/>
      <c r="Z6" s="765"/>
      <c r="AA6" s="765"/>
      <c r="AC6" s="20">
        <f>'Kat. 1 U-Wert'!F22</f>
        <v>1.4</v>
      </c>
    </row>
    <row r="7" spans="1:29" ht="18" customHeight="1" x14ac:dyDescent="0.3">
      <c r="A7" s="21"/>
      <c r="B7" s="21"/>
      <c r="C7" s="21"/>
      <c r="D7" s="19"/>
      <c r="E7" s="251" t="s">
        <v>238</v>
      </c>
      <c r="F7" s="175" t="s">
        <v>235</v>
      </c>
      <c r="G7" s="34" t="s">
        <v>237</v>
      </c>
      <c r="H7" s="176" t="s">
        <v>226</v>
      </c>
      <c r="I7" s="34" t="s">
        <v>234</v>
      </c>
      <c r="J7" s="176" t="s">
        <v>226</v>
      </c>
      <c r="K7" s="158" t="s">
        <v>236</v>
      </c>
      <c r="L7" s="19"/>
      <c r="M7" s="182"/>
      <c r="N7" s="394"/>
      <c r="P7" s="183"/>
      <c r="Q7" s="730"/>
      <c r="R7" s="754"/>
      <c r="S7" s="57" t="str">
        <f>'Kat. 1 U-Wert'!B22</f>
        <v>Sonstige Wandaufbauten über 20cm Wandstärke</v>
      </c>
      <c r="T7" s="79" t="s">
        <v>401</v>
      </c>
      <c r="U7" s="765"/>
      <c r="V7" s="765"/>
      <c r="W7" s="765"/>
      <c r="X7" s="765"/>
      <c r="Y7" s="765"/>
      <c r="Z7" s="765"/>
      <c r="AA7" s="765"/>
      <c r="AB7" s="765"/>
      <c r="AC7" s="44"/>
    </row>
    <row r="8" spans="1:29" ht="18" customHeight="1" x14ac:dyDescent="0.3">
      <c r="A8" s="21"/>
      <c r="B8" s="21"/>
      <c r="C8" s="21"/>
      <c r="D8" s="19"/>
      <c r="E8" s="400">
        <f>G8*I8*K8</f>
        <v>237.43999999999997</v>
      </c>
      <c r="F8" s="175" t="s">
        <v>235</v>
      </c>
      <c r="G8" s="34">
        <v>1</v>
      </c>
      <c r="H8" s="176" t="s">
        <v>226</v>
      </c>
      <c r="I8" s="390">
        <f>L6</f>
        <v>1.4</v>
      </c>
      <c r="J8" s="176" t="s">
        <v>226</v>
      </c>
      <c r="K8" s="314">
        <f>N4</f>
        <v>169.6</v>
      </c>
      <c r="L8" s="177"/>
      <c r="M8" s="175"/>
      <c r="N8" s="34"/>
      <c r="O8" s="34"/>
      <c r="P8" s="94"/>
      <c r="Q8" s="730"/>
      <c r="R8" s="754"/>
      <c r="S8" s="57" t="str">
        <f>'Kat. 1 U-Wert'!B19</f>
        <v>Wie vorstehend, jedoch 
über 30cm Wandstärke</v>
      </c>
      <c r="T8" s="79" t="s">
        <v>402</v>
      </c>
      <c r="U8" s="757" t="s">
        <v>96</v>
      </c>
      <c r="V8" s="757"/>
      <c r="W8" s="757"/>
      <c r="X8" s="15"/>
      <c r="Y8" s="178">
        <v>0</v>
      </c>
      <c r="Z8" s="14" t="s">
        <v>230</v>
      </c>
      <c r="AA8" s="15" t="s">
        <v>232</v>
      </c>
      <c r="AB8" s="15"/>
      <c r="AC8" s="44">
        <v>3.5000000000000003E-2</v>
      </c>
    </row>
    <row r="9" spans="1:29" ht="18" customHeight="1" x14ac:dyDescent="0.3">
      <c r="A9" s="21"/>
      <c r="B9" s="21"/>
      <c r="C9" s="21"/>
      <c r="D9" s="91"/>
      <c r="E9" s="34"/>
      <c r="F9" s="34"/>
      <c r="G9" s="34"/>
      <c r="H9" s="34"/>
      <c r="I9" s="34"/>
      <c r="J9" s="34"/>
      <c r="K9" s="94"/>
      <c r="L9" s="177"/>
      <c r="M9" s="175"/>
      <c r="N9" s="34"/>
      <c r="O9" s="34"/>
      <c r="P9" s="94"/>
      <c r="Q9" s="730"/>
      <c r="R9" s="754"/>
      <c r="S9" s="57"/>
      <c r="T9" s="79"/>
      <c r="U9" s="36" t="s">
        <v>405</v>
      </c>
      <c r="V9" s="184" t="s">
        <v>235</v>
      </c>
      <c r="W9" s="185" t="s">
        <v>262</v>
      </c>
      <c r="X9" s="184" t="s">
        <v>233</v>
      </c>
      <c r="Y9" s="36" t="s">
        <v>227</v>
      </c>
      <c r="Z9" s="36" t="s">
        <v>228</v>
      </c>
      <c r="AA9" s="36" t="s">
        <v>265</v>
      </c>
      <c r="AB9" s="204" t="s">
        <v>233</v>
      </c>
      <c r="AC9" s="186" t="s">
        <v>263</v>
      </c>
    </row>
    <row r="10" spans="1:29" ht="18" customHeight="1" x14ac:dyDescent="0.3">
      <c r="A10" s="21"/>
      <c r="B10" s="21"/>
      <c r="C10" s="21"/>
      <c r="D10" s="91"/>
      <c r="E10" s="34"/>
      <c r="F10" s="34"/>
      <c r="G10" s="34"/>
      <c r="H10" s="34"/>
      <c r="I10" s="34"/>
      <c r="J10" s="34"/>
      <c r="K10" s="94"/>
      <c r="L10" s="177"/>
      <c r="M10" s="175"/>
      <c r="N10" s="34"/>
      <c r="O10" s="34"/>
      <c r="P10" s="94"/>
      <c r="Q10" s="730"/>
      <c r="R10" s="754"/>
      <c r="S10" s="57"/>
      <c r="T10" s="79"/>
      <c r="U10" s="287">
        <f>W10+(Y10/AA10)+AC10</f>
        <v>0</v>
      </c>
      <c r="V10" s="188" t="s">
        <v>235</v>
      </c>
      <c r="W10" s="189">
        <f>IF(Y8&gt;0,'Kat. 1 U-Wert'!C51,0)</f>
        <v>0</v>
      </c>
      <c r="X10" s="190" t="s">
        <v>233</v>
      </c>
      <c r="Y10" s="189">
        <f>Y8</f>
        <v>0</v>
      </c>
      <c r="Z10" s="67" t="s">
        <v>228</v>
      </c>
      <c r="AA10" s="191">
        <f>AC8</f>
        <v>3.5000000000000003E-2</v>
      </c>
      <c r="AB10" s="188" t="s">
        <v>233</v>
      </c>
      <c r="AC10" s="192">
        <f>IF(Y8&gt;0,'Kat. 1 U-Wert'!C52,0)</f>
        <v>0</v>
      </c>
    </row>
    <row r="11" spans="1:29" ht="18" customHeight="1" x14ac:dyDescent="0.3">
      <c r="A11" s="21"/>
      <c r="B11" s="21"/>
      <c r="C11" s="21"/>
      <c r="D11" s="91"/>
      <c r="E11" s="34"/>
      <c r="F11" s="34"/>
      <c r="G11" s="34"/>
      <c r="H11" s="34"/>
      <c r="I11" s="34"/>
      <c r="J11" s="34"/>
      <c r="K11" s="94"/>
      <c r="L11" s="177"/>
      <c r="M11" s="175"/>
      <c r="N11" s="34"/>
      <c r="O11" s="34"/>
      <c r="P11" s="94"/>
      <c r="Q11" s="730"/>
      <c r="R11" s="754"/>
      <c r="S11" s="57"/>
      <c r="T11" s="79"/>
      <c r="U11" s="36" t="s">
        <v>411</v>
      </c>
      <c r="V11" s="204" t="s">
        <v>235</v>
      </c>
      <c r="W11" s="36">
        <v>1</v>
      </c>
      <c r="X11" s="36" t="s">
        <v>228</v>
      </c>
      <c r="Y11" s="758" t="s">
        <v>358</v>
      </c>
      <c r="Z11" s="758"/>
      <c r="AA11" s="758"/>
      <c r="AB11" s="39"/>
      <c r="AC11" s="186"/>
    </row>
    <row r="12" spans="1:29" ht="18" customHeight="1" x14ac:dyDescent="0.3">
      <c r="A12" s="21"/>
      <c r="B12" s="21"/>
      <c r="C12" s="21"/>
      <c r="D12" s="91"/>
      <c r="E12" s="34"/>
      <c r="F12" s="34"/>
      <c r="G12" s="34"/>
      <c r="H12" s="34"/>
      <c r="I12" s="34"/>
      <c r="J12" s="34"/>
      <c r="K12" s="94"/>
      <c r="L12" s="177"/>
      <c r="M12" s="175"/>
      <c r="N12" s="34"/>
      <c r="O12" s="34"/>
      <c r="P12" s="94"/>
      <c r="Q12" s="730"/>
      <c r="R12" s="754"/>
      <c r="S12" s="57"/>
      <c r="T12" s="79"/>
      <c r="U12" s="285">
        <f>W12/Y12</f>
        <v>0.7142857142857143</v>
      </c>
      <c r="V12" s="188" t="s">
        <v>235</v>
      </c>
      <c r="W12" s="67">
        <v>1</v>
      </c>
      <c r="X12" s="67" t="s">
        <v>228</v>
      </c>
      <c r="Y12" s="759">
        <f>AC6</f>
        <v>1.4</v>
      </c>
      <c r="Z12" s="759"/>
      <c r="AA12" s="759"/>
      <c r="AB12" s="40"/>
      <c r="AC12" s="225"/>
    </row>
    <row r="13" spans="1:29" ht="18" customHeight="1" x14ac:dyDescent="0.3">
      <c r="A13" s="21"/>
      <c r="B13" s="21"/>
      <c r="C13" s="21"/>
      <c r="D13" s="91"/>
      <c r="E13" s="34"/>
      <c r="F13" s="34"/>
      <c r="G13" s="34"/>
      <c r="H13" s="34"/>
      <c r="I13" s="34"/>
      <c r="J13" s="34"/>
      <c r="K13" s="94"/>
      <c r="L13" s="177"/>
      <c r="M13" s="175"/>
      <c r="N13" s="34"/>
      <c r="O13" s="34"/>
      <c r="P13" s="94"/>
      <c r="Q13" s="730"/>
      <c r="R13" s="754"/>
      <c r="S13" s="57"/>
      <c r="T13" s="79"/>
      <c r="U13" s="36" t="s">
        <v>403</v>
      </c>
      <c r="V13" s="204" t="s">
        <v>235</v>
      </c>
      <c r="W13" s="36"/>
      <c r="X13" s="36"/>
      <c r="Y13" s="36" t="s">
        <v>412</v>
      </c>
      <c r="Z13" s="284" t="s">
        <v>233</v>
      </c>
      <c r="AA13" s="36" t="s">
        <v>407</v>
      </c>
      <c r="AB13" s="39"/>
      <c r="AC13" s="186"/>
    </row>
    <row r="14" spans="1:29" ht="18" customHeight="1" x14ac:dyDescent="0.3">
      <c r="A14" s="21"/>
      <c r="B14" s="21"/>
      <c r="C14" s="21"/>
      <c r="D14" s="91"/>
      <c r="E14" s="34"/>
      <c r="F14" s="34"/>
      <c r="G14" s="34"/>
      <c r="H14" s="34"/>
      <c r="I14" s="34"/>
      <c r="J14" s="34"/>
      <c r="K14" s="94"/>
      <c r="L14" s="177"/>
      <c r="M14" s="175"/>
      <c r="N14" s="34"/>
      <c r="O14" s="34"/>
      <c r="P14" s="94"/>
      <c r="Q14" s="730"/>
      <c r="R14" s="754"/>
      <c r="S14" s="57"/>
      <c r="T14" s="79"/>
      <c r="U14" s="241">
        <f>Y14+AA14</f>
        <v>0.7142857142857143</v>
      </c>
      <c r="V14" s="188" t="s">
        <v>235</v>
      </c>
      <c r="W14" s="67"/>
      <c r="X14" s="67"/>
      <c r="Y14" s="285">
        <f>U12</f>
        <v>0.7142857142857143</v>
      </c>
      <c r="Z14" s="286" t="s">
        <v>233</v>
      </c>
      <c r="AA14" s="287">
        <f>U10</f>
        <v>0</v>
      </c>
      <c r="AB14" s="40"/>
      <c r="AC14" s="225"/>
    </row>
    <row r="15" spans="1:29" ht="18" customHeight="1" x14ac:dyDescent="0.3">
      <c r="A15" s="21"/>
      <c r="B15" s="21"/>
      <c r="C15" s="21"/>
      <c r="D15" s="91"/>
      <c r="E15" s="34"/>
      <c r="F15" s="34"/>
      <c r="G15" s="34"/>
      <c r="H15" s="34"/>
      <c r="I15" s="34"/>
      <c r="J15" s="34"/>
      <c r="K15" s="94"/>
      <c r="L15" s="177"/>
      <c r="M15" s="175"/>
      <c r="N15" s="34"/>
      <c r="O15" s="34"/>
      <c r="P15" s="94"/>
      <c r="Q15" s="730"/>
      <c r="R15" s="754"/>
      <c r="S15" s="59"/>
      <c r="T15" s="225"/>
      <c r="U15" s="159"/>
      <c r="V15" s="159"/>
      <c r="W15" s="159"/>
      <c r="X15" s="15"/>
      <c r="Y15" s="178"/>
      <c r="Z15" s="14"/>
      <c r="AA15" s="15"/>
      <c r="AB15" s="15"/>
      <c r="AC15" s="44"/>
    </row>
    <row r="16" spans="1:29" ht="18.75" customHeight="1" x14ac:dyDescent="0.3">
      <c r="A16" s="21"/>
      <c r="B16" s="21"/>
      <c r="C16" s="21"/>
      <c r="D16" s="760" t="s">
        <v>59</v>
      </c>
      <c r="E16" s="761"/>
      <c r="F16" s="761"/>
      <c r="G16" s="761"/>
      <c r="H16" s="761"/>
      <c r="I16" s="761"/>
      <c r="J16" s="761"/>
      <c r="K16" s="762"/>
      <c r="L16" s="760" t="s">
        <v>225</v>
      </c>
      <c r="M16" s="761"/>
      <c r="N16" s="761"/>
      <c r="O16" s="761"/>
      <c r="P16" s="762"/>
      <c r="Q16" s="730"/>
      <c r="R16" s="754"/>
      <c r="S16" s="927" t="s">
        <v>413</v>
      </c>
      <c r="T16" s="928"/>
      <c r="U16" s="92" t="s">
        <v>107</v>
      </c>
      <c r="V16" s="204"/>
      <c r="W16" s="185"/>
      <c r="X16" s="184"/>
      <c r="Y16" s="205" t="s">
        <v>239</v>
      </c>
      <c r="Z16" s="36"/>
      <c r="AA16" s="206">
        <f>AA3*0.2</f>
        <v>42.400000000000006</v>
      </c>
      <c r="AB16" s="30" t="s">
        <v>54</v>
      </c>
      <c r="AC16" s="186"/>
    </row>
    <row r="17" spans="1:34" ht="18" customHeight="1" x14ac:dyDescent="0.3">
      <c r="A17" s="21"/>
      <c r="B17" s="21"/>
      <c r="C17" s="21"/>
      <c r="D17" s="730"/>
      <c r="E17" s="731"/>
      <c r="F17" s="731"/>
      <c r="G17" s="731"/>
      <c r="H17" s="731"/>
      <c r="I17" s="731"/>
      <c r="J17" s="731"/>
      <c r="K17" s="754"/>
      <c r="L17" s="207" t="s">
        <v>236</v>
      </c>
      <c r="M17" s="236" t="s">
        <v>235</v>
      </c>
      <c r="N17" s="208">
        <f>AA16</f>
        <v>42.400000000000006</v>
      </c>
      <c r="O17" s="103" t="s">
        <v>414</v>
      </c>
      <c r="P17" s="228"/>
      <c r="Q17" s="730"/>
      <c r="R17" s="754"/>
      <c r="S17" s="770"/>
      <c r="T17" s="771"/>
      <c r="U17" s="159"/>
      <c r="V17" s="198"/>
      <c r="W17" s="199"/>
      <c r="X17" s="200"/>
      <c r="Y17" s="209"/>
      <c r="Z17" s="14"/>
      <c r="AA17" s="181"/>
      <c r="AB17" s="15"/>
      <c r="AC17" s="79"/>
    </row>
    <row r="18" spans="1:34" ht="16.5" customHeight="1" x14ac:dyDescent="0.3">
      <c r="A18" s="21"/>
      <c r="B18" s="21"/>
      <c r="C18" s="21"/>
      <c r="D18" s="730" t="s">
        <v>61</v>
      </c>
      <c r="E18" s="731"/>
      <c r="F18" s="731"/>
      <c r="G18" s="731"/>
      <c r="H18" s="731"/>
      <c r="I18" s="731"/>
      <c r="J18" s="731"/>
      <c r="K18" s="754"/>
      <c r="L18" s="730" t="s">
        <v>101</v>
      </c>
      <c r="M18" s="731"/>
      <c r="N18" s="731"/>
      <c r="O18" s="731"/>
      <c r="P18" s="754"/>
      <c r="Q18" s="730"/>
      <c r="R18" s="754"/>
      <c r="S18" s="755" t="s">
        <v>338</v>
      </c>
      <c r="T18" s="756"/>
      <c r="U18" s="812" t="s">
        <v>249</v>
      </c>
      <c r="V18" s="812"/>
      <c r="W18" s="812"/>
      <c r="X18" s="812"/>
      <c r="Y18" s="812"/>
      <c r="Z18" s="30"/>
      <c r="AA18" s="238" t="s">
        <v>349</v>
      </c>
      <c r="AB18" s="305">
        <f>'Kat. 1 U-Wert'!I40</f>
        <v>2.7</v>
      </c>
      <c r="AC18" s="306" t="s">
        <v>56</v>
      </c>
    </row>
    <row r="19" spans="1:34" ht="16.5" customHeight="1" x14ac:dyDescent="0.3">
      <c r="A19" s="21"/>
      <c r="B19" s="21"/>
      <c r="C19" s="21"/>
      <c r="D19" s="19"/>
      <c r="E19" s="251" t="s">
        <v>238</v>
      </c>
      <c r="F19" s="175" t="s">
        <v>235</v>
      </c>
      <c r="G19" s="34" t="s">
        <v>237</v>
      </c>
      <c r="H19" s="176" t="s">
        <v>226</v>
      </c>
      <c r="I19" s="34" t="s">
        <v>234</v>
      </c>
      <c r="J19" s="176" t="s">
        <v>226</v>
      </c>
      <c r="K19" s="158" t="s">
        <v>236</v>
      </c>
      <c r="L19" s="177" t="s">
        <v>234</v>
      </c>
      <c r="M19" s="175" t="s">
        <v>235</v>
      </c>
      <c r="N19" s="211">
        <f>AB18</f>
        <v>2.7</v>
      </c>
      <c r="O19" s="34"/>
      <c r="P19" s="94"/>
      <c r="Q19" s="730"/>
      <c r="R19" s="754"/>
      <c r="S19" s="57" t="str">
        <f>'Kat. 1 U-Wert'!B40</f>
        <v>Holzfenster, zwei Scheiben</v>
      </c>
      <c r="T19" s="79" t="s">
        <v>328</v>
      </c>
      <c r="U19" s="765" t="s">
        <v>372</v>
      </c>
      <c r="V19" s="765"/>
      <c r="W19" s="765"/>
      <c r="X19" s="765"/>
      <c r="Y19" s="765"/>
      <c r="Z19" s="765"/>
      <c r="AA19" s="765"/>
      <c r="AB19" s="765"/>
      <c r="AC19" s="756"/>
    </row>
    <row r="20" spans="1:34" ht="15.75" customHeight="1" x14ac:dyDescent="0.3">
      <c r="A20" s="21"/>
      <c r="B20" s="21"/>
      <c r="C20" s="21"/>
      <c r="D20" s="19"/>
      <c r="E20" s="400">
        <f>G20*I20*K20</f>
        <v>114.48000000000002</v>
      </c>
      <c r="F20" s="175" t="s">
        <v>235</v>
      </c>
      <c r="G20" s="34">
        <v>1</v>
      </c>
      <c r="H20" s="176" t="s">
        <v>226</v>
      </c>
      <c r="I20" s="211">
        <f>N19</f>
        <v>2.7</v>
      </c>
      <c r="J20" s="176" t="s">
        <v>226</v>
      </c>
      <c r="K20" s="180">
        <f>N17</f>
        <v>42.400000000000006</v>
      </c>
      <c r="L20" s="177"/>
      <c r="M20" s="175"/>
      <c r="N20" s="34"/>
      <c r="O20" s="34"/>
      <c r="P20" s="94"/>
      <c r="Q20" s="730"/>
      <c r="R20" s="754"/>
      <c r="S20" s="57" t="str">
        <f>'Kat. 1 U-Wert'!B42</f>
        <v>Kunststofffenster, Isolierverglasung</v>
      </c>
      <c r="T20" s="79" t="s">
        <v>329</v>
      </c>
      <c r="U20" s="765" t="s">
        <v>373</v>
      </c>
      <c r="V20" s="765"/>
      <c r="W20" s="765"/>
      <c r="X20" s="765"/>
      <c r="Y20" s="765"/>
      <c r="Z20" s="765"/>
      <c r="AA20" s="765"/>
      <c r="AB20" s="765"/>
      <c r="AC20" s="756"/>
    </row>
    <row r="21" spans="1:34" ht="15" thickBot="1" x14ac:dyDescent="0.35">
      <c r="A21" s="38"/>
      <c r="B21" s="38"/>
      <c r="C21" s="38"/>
      <c r="D21" s="22"/>
      <c r="E21" s="23"/>
      <c r="F21" s="23"/>
      <c r="G21" s="23"/>
      <c r="H21" s="23"/>
      <c r="I21" s="23"/>
      <c r="J21" s="23"/>
      <c r="K21" s="24"/>
      <c r="L21" s="22"/>
      <c r="M21" s="23"/>
      <c r="N21" s="23"/>
      <c r="O21" s="23"/>
      <c r="P21" s="24"/>
      <c r="Q21" s="733"/>
      <c r="R21" s="817"/>
      <c r="S21" s="22"/>
      <c r="T21" s="24"/>
      <c r="U21" s="766" t="s">
        <v>325</v>
      </c>
      <c r="V21" s="766"/>
      <c r="W21" s="766"/>
      <c r="X21" s="766"/>
      <c r="Y21" s="766"/>
      <c r="Z21" s="766"/>
      <c r="AA21" s="766"/>
      <c r="AB21" s="766"/>
      <c r="AC21" s="767"/>
    </row>
    <row r="23" spans="1:34" ht="15" thickBot="1" x14ac:dyDescent="0.35"/>
    <row r="24" spans="1:34" ht="15" thickBot="1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34" ht="31.5" customHeight="1" x14ac:dyDescent="0.3">
      <c r="C25" s="884" t="s">
        <v>287</v>
      </c>
      <c r="D25" s="761"/>
      <c r="E25" s="761"/>
      <c r="F25" s="761"/>
      <c r="G25" s="761"/>
      <c r="H25" s="900"/>
      <c r="I25" s="870" t="s">
        <v>433</v>
      </c>
      <c r="J25" s="870"/>
      <c r="K25" s="870"/>
      <c r="L25" s="872" t="s">
        <v>424</v>
      </c>
      <c r="M25" s="774"/>
      <c r="N25" s="872" t="s">
        <v>423</v>
      </c>
      <c r="O25" s="873"/>
      <c r="P25" s="873"/>
      <c r="Q25" s="872" t="s">
        <v>425</v>
      </c>
      <c r="R25" s="873"/>
      <c r="S25" s="874" t="s">
        <v>353</v>
      </c>
      <c r="T25" s="875"/>
      <c r="U25" s="920"/>
      <c r="V25" s="924"/>
      <c r="W25" s="925"/>
      <c r="X25" s="925"/>
      <c r="Y25" s="925"/>
      <c r="Z25" s="925"/>
      <c r="AA25" s="925"/>
      <c r="AB25" s="925"/>
      <c r="AC25" s="926"/>
    </row>
    <row r="26" spans="1:34" ht="25.5" customHeight="1" x14ac:dyDescent="0.3">
      <c r="C26" s="878" t="s">
        <v>61</v>
      </c>
      <c r="D26" s="731"/>
      <c r="E26" s="731"/>
      <c r="F26" s="731"/>
      <c r="G26" s="731"/>
      <c r="H26" s="732"/>
      <c r="I26" s="880" t="s">
        <v>230</v>
      </c>
      <c r="J26" s="880"/>
      <c r="K26" s="880"/>
      <c r="L26" s="895" t="s">
        <v>56</v>
      </c>
      <c r="M26" s="852"/>
      <c r="N26" s="895" t="s">
        <v>56</v>
      </c>
      <c r="O26" s="800"/>
      <c r="P26" s="800"/>
      <c r="Q26" s="895" t="s">
        <v>426</v>
      </c>
      <c r="R26" s="800"/>
      <c r="S26" s="851" t="s">
        <v>342</v>
      </c>
      <c r="T26" s="872" t="s">
        <v>330</v>
      </c>
      <c r="U26" s="774"/>
      <c r="V26" s="884" t="s">
        <v>345</v>
      </c>
      <c r="W26" s="761"/>
      <c r="X26" s="761"/>
      <c r="Y26" s="761"/>
      <c r="Z26" s="761"/>
      <c r="AA26" s="761"/>
      <c r="AB26" s="761"/>
      <c r="AC26" s="762"/>
      <c r="AD26" s="21"/>
      <c r="AE26" s="21"/>
      <c r="AF26" s="21"/>
      <c r="AG26" s="21"/>
      <c r="AH26" s="21"/>
    </row>
    <row r="27" spans="1:34" ht="24" customHeight="1" x14ac:dyDescent="0.3">
      <c r="C27" s="370" t="s">
        <v>238</v>
      </c>
      <c r="D27" s="175" t="s">
        <v>235</v>
      </c>
      <c r="E27" s="34" t="s">
        <v>234</v>
      </c>
      <c r="F27" s="176" t="s">
        <v>226</v>
      </c>
      <c r="G27" s="34" t="s">
        <v>236</v>
      </c>
      <c r="H27" s="2"/>
      <c r="I27" s="933">
        <f>_xlfn.CEILING.MATH(I31,0.02)</f>
        <v>0.16</v>
      </c>
      <c r="J27" s="933"/>
      <c r="K27" s="933"/>
      <c r="L27" s="929">
        <f>'Kat. 1 U-Wert'!F67</f>
        <v>0.2</v>
      </c>
      <c r="M27" s="929"/>
      <c r="N27" s="889">
        <f>L6</f>
        <v>1.4</v>
      </c>
      <c r="O27" s="890"/>
      <c r="P27" s="890"/>
      <c r="Q27" s="876">
        <f>AC8</f>
        <v>3.5000000000000003E-2</v>
      </c>
      <c r="R27" s="877"/>
      <c r="S27" s="866"/>
      <c r="T27" s="895"/>
      <c r="U27" s="852"/>
      <c r="V27" s="912"/>
      <c r="W27" s="780"/>
      <c r="X27" s="780"/>
      <c r="Y27" s="780"/>
      <c r="Z27" s="780"/>
      <c r="AA27" s="780"/>
      <c r="AB27" s="780"/>
      <c r="AC27" s="781"/>
      <c r="AD27" s="21"/>
      <c r="AE27" s="21"/>
      <c r="AF27" s="21"/>
      <c r="AG27" s="21"/>
      <c r="AH27" s="21"/>
    </row>
    <row r="28" spans="1:34" ht="32.25" customHeight="1" x14ac:dyDescent="0.3">
      <c r="C28" s="371">
        <f>E28*G28</f>
        <v>34</v>
      </c>
      <c r="D28" s="175" t="s">
        <v>235</v>
      </c>
      <c r="E28" s="297">
        <f>L27</f>
        <v>0.2</v>
      </c>
      <c r="F28" s="176" t="s">
        <v>226</v>
      </c>
      <c r="G28" s="389">
        <f>ROUNDUP(N4,0)</f>
        <v>170</v>
      </c>
      <c r="H28" s="2"/>
      <c r="I28" s="870" t="s">
        <v>431</v>
      </c>
      <c r="J28" s="870"/>
      <c r="K28" s="870"/>
      <c r="L28" s="931" t="s">
        <v>430</v>
      </c>
      <c r="M28" s="931"/>
      <c r="N28" s="872" t="s">
        <v>428</v>
      </c>
      <c r="O28" s="873"/>
      <c r="P28" s="873"/>
      <c r="Q28" s="872" t="s">
        <v>427</v>
      </c>
      <c r="R28" s="873"/>
      <c r="S28" s="851" t="s">
        <v>343</v>
      </c>
      <c r="T28" s="872" t="s">
        <v>344</v>
      </c>
      <c r="U28" s="774"/>
      <c r="V28" s="884" t="s">
        <v>371</v>
      </c>
      <c r="W28" s="761"/>
      <c r="X28" s="761"/>
      <c r="Y28" s="761"/>
      <c r="Z28" s="761"/>
      <c r="AA28" s="761"/>
      <c r="AB28" s="761"/>
      <c r="AC28" s="762"/>
      <c r="AD28" s="21"/>
      <c r="AE28" s="21"/>
      <c r="AF28" s="21"/>
      <c r="AG28" s="21"/>
      <c r="AH28" s="21"/>
    </row>
    <row r="29" spans="1:34" ht="18" customHeight="1" x14ac:dyDescent="0.3">
      <c r="C29" s="1"/>
      <c r="F29" s="21"/>
      <c r="G29" s="404"/>
      <c r="H29" s="169"/>
      <c r="I29" s="397"/>
      <c r="J29" s="117"/>
      <c r="K29" s="117"/>
      <c r="L29" s="117"/>
      <c r="M29" s="117"/>
      <c r="N29" s="117"/>
      <c r="O29" s="117"/>
      <c r="P29" s="117"/>
      <c r="Q29" s="117"/>
      <c r="R29" s="35"/>
      <c r="S29" s="866"/>
      <c r="T29" s="895"/>
      <c r="U29" s="852"/>
      <c r="V29" s="912"/>
      <c r="W29" s="780"/>
      <c r="X29" s="780"/>
      <c r="Y29" s="780"/>
      <c r="Z29" s="780"/>
      <c r="AA29" s="780"/>
      <c r="AB29" s="780"/>
      <c r="AC29" s="781"/>
      <c r="AD29" s="21"/>
      <c r="AE29" s="21"/>
      <c r="AF29" s="21"/>
      <c r="AG29" s="21"/>
      <c r="AH29" s="21"/>
    </row>
    <row r="30" spans="1:34" ht="18" customHeight="1" x14ac:dyDescent="0.3">
      <c r="C30" s="1"/>
      <c r="F30" s="34"/>
      <c r="G30" s="34"/>
      <c r="H30" s="307"/>
      <c r="I30" s="884" t="s">
        <v>419</v>
      </c>
      <c r="J30" s="761"/>
      <c r="K30" s="210" t="s">
        <v>235</v>
      </c>
      <c r="L30" s="761" t="s">
        <v>420</v>
      </c>
      <c r="M30" s="761"/>
      <c r="N30" s="210" t="s">
        <v>170</v>
      </c>
      <c r="O30" s="761" t="s">
        <v>421</v>
      </c>
      <c r="P30" s="761"/>
      <c r="Q30" s="210" t="s">
        <v>226</v>
      </c>
      <c r="R30" s="37" t="s">
        <v>422</v>
      </c>
      <c r="S30" s="886" t="s">
        <v>364</v>
      </c>
      <c r="T30" s="872" t="s">
        <v>365</v>
      </c>
      <c r="U30" s="774"/>
      <c r="V30" s="878" t="s">
        <v>371</v>
      </c>
      <c r="W30" s="731"/>
      <c r="X30" s="731"/>
      <c r="Y30" s="731"/>
      <c r="Z30" s="731"/>
      <c r="AA30" s="731"/>
      <c r="AB30" s="731"/>
      <c r="AC30" s="754"/>
      <c r="AD30" s="21"/>
      <c r="AE30" s="21"/>
      <c r="AF30" s="21"/>
      <c r="AG30" s="21"/>
      <c r="AH30" s="21"/>
    </row>
    <row r="31" spans="1:34" ht="17.25" customHeight="1" x14ac:dyDescent="0.3">
      <c r="C31" s="1"/>
      <c r="F31" s="34"/>
      <c r="G31" s="34"/>
      <c r="H31" s="307"/>
      <c r="I31" s="930">
        <f>(L31-O31)*R31</f>
        <v>0.15000000000000002</v>
      </c>
      <c r="J31" s="888"/>
      <c r="K31" s="236" t="s">
        <v>235</v>
      </c>
      <c r="L31" s="888">
        <f>1/L27</f>
        <v>5</v>
      </c>
      <c r="M31" s="888"/>
      <c r="N31" s="236" t="s">
        <v>170</v>
      </c>
      <c r="O31" s="888">
        <f>1/N27</f>
        <v>0.7142857142857143</v>
      </c>
      <c r="P31" s="888"/>
      <c r="Q31" s="236" t="s">
        <v>226</v>
      </c>
      <c r="R31" s="369">
        <f>Q27</f>
        <v>3.5000000000000003E-2</v>
      </c>
      <c r="S31" s="886"/>
      <c r="T31" s="727"/>
      <c r="U31" s="729"/>
      <c r="V31" s="878"/>
      <c r="W31" s="731"/>
      <c r="X31" s="731"/>
      <c r="Y31" s="731"/>
      <c r="Z31" s="731"/>
      <c r="AA31" s="731"/>
      <c r="AB31" s="731"/>
      <c r="AC31" s="754"/>
      <c r="AD31" s="21"/>
      <c r="AE31" s="21"/>
      <c r="AF31" s="21"/>
      <c r="AG31" s="21"/>
      <c r="AH31" s="21"/>
    </row>
    <row r="32" spans="1:34" ht="17.25" customHeight="1" thickBot="1" x14ac:dyDescent="0.35">
      <c r="C32" s="1"/>
      <c r="F32" s="34"/>
      <c r="G32" s="34"/>
      <c r="H32" s="307"/>
      <c r="I32" s="34"/>
      <c r="J32" s="34"/>
      <c r="K32" s="34"/>
      <c r="L32" s="34"/>
      <c r="M32" s="34"/>
      <c r="N32" s="34"/>
      <c r="O32" s="14"/>
      <c r="P32" s="14"/>
      <c r="Q32" s="14"/>
      <c r="R32" s="14"/>
      <c r="S32" s="887"/>
      <c r="T32" s="736"/>
      <c r="U32" s="738"/>
      <c r="V32" s="913"/>
      <c r="W32" s="734"/>
      <c r="X32" s="734"/>
      <c r="Y32" s="734"/>
      <c r="Z32" s="734"/>
      <c r="AA32" s="734"/>
      <c r="AB32" s="734"/>
      <c r="AC32" s="817"/>
      <c r="AD32" s="21"/>
      <c r="AE32" s="21"/>
      <c r="AF32" s="21"/>
      <c r="AG32" s="21"/>
      <c r="AH32" s="21"/>
    </row>
    <row r="33" spans="1:31" ht="16.5" customHeight="1" thickBot="1" x14ac:dyDescent="0.35">
      <c r="C33" s="908" t="s">
        <v>288</v>
      </c>
      <c r="D33" s="909"/>
      <c r="E33" s="909"/>
      <c r="F33" s="909"/>
      <c r="G33" s="909"/>
      <c r="H33" s="909"/>
      <c r="I33" s="909"/>
      <c r="J33" s="909"/>
      <c r="K33" s="909"/>
      <c r="L33" s="909"/>
      <c r="M33" s="909"/>
      <c r="N33" s="909"/>
      <c r="O33" s="909"/>
      <c r="P33" s="909"/>
      <c r="Q33" s="909"/>
      <c r="R33" s="909"/>
      <c r="S33" s="909"/>
      <c r="T33" s="909"/>
      <c r="U33" s="909"/>
      <c r="V33" s="909"/>
      <c r="W33" s="909"/>
      <c r="X33" s="909"/>
      <c r="Y33" s="909"/>
      <c r="Z33" s="909"/>
      <c r="AA33" s="909"/>
      <c r="AB33" s="909"/>
      <c r="AC33" s="910"/>
    </row>
    <row r="34" spans="1:31" ht="16.5" customHeight="1" thickBot="1" x14ac:dyDescent="0.35">
      <c r="V34" s="405"/>
    </row>
    <row r="35" spans="1:31" ht="27" customHeight="1" x14ac:dyDescent="0.3">
      <c r="C35" s="884" t="s">
        <v>472</v>
      </c>
      <c r="D35" s="761"/>
      <c r="E35" s="761"/>
      <c r="F35" s="761"/>
      <c r="G35" s="761"/>
      <c r="H35" s="900"/>
      <c r="I35" s="884"/>
      <c r="J35" s="761"/>
      <c r="K35" s="900"/>
      <c r="L35" s="873" t="s">
        <v>424</v>
      </c>
      <c r="M35" s="774"/>
      <c r="N35" s="872" t="s">
        <v>423</v>
      </c>
      <c r="O35" s="873"/>
      <c r="P35" s="774"/>
      <c r="Q35" s="872"/>
      <c r="R35" s="873"/>
      <c r="S35" s="874" t="s">
        <v>332</v>
      </c>
      <c r="T35" s="875"/>
      <c r="U35" s="920"/>
      <c r="V35" s="924"/>
      <c r="W35" s="925"/>
      <c r="X35" s="925"/>
      <c r="Y35" s="925"/>
      <c r="Z35" s="925"/>
      <c r="AA35" s="925"/>
      <c r="AB35" s="925"/>
      <c r="AC35" s="926"/>
    </row>
    <row r="36" spans="1:31" ht="28.5" customHeight="1" x14ac:dyDescent="0.3">
      <c r="C36" s="878" t="s">
        <v>61</v>
      </c>
      <c r="D36" s="731"/>
      <c r="E36" s="731"/>
      <c r="F36" s="731"/>
      <c r="G36" s="731"/>
      <c r="H36" s="732"/>
      <c r="I36" s="878"/>
      <c r="J36" s="731"/>
      <c r="K36" s="732"/>
      <c r="L36" s="800" t="s">
        <v>56</v>
      </c>
      <c r="M36" s="852"/>
      <c r="N36" s="895" t="s">
        <v>56</v>
      </c>
      <c r="O36" s="800"/>
      <c r="P36" s="852"/>
      <c r="Q36" s="727"/>
      <c r="R36" s="728"/>
      <c r="S36" s="851" t="s">
        <v>333</v>
      </c>
      <c r="T36" s="872" t="s">
        <v>330</v>
      </c>
      <c r="U36" s="774"/>
      <c r="V36" s="884" t="s">
        <v>347</v>
      </c>
      <c r="W36" s="761"/>
      <c r="X36" s="761"/>
      <c r="Y36" s="761"/>
      <c r="Z36" s="761"/>
      <c r="AA36" s="761"/>
      <c r="AB36" s="761"/>
      <c r="AC36" s="762"/>
      <c r="AD36" s="21"/>
      <c r="AE36" s="21"/>
    </row>
    <row r="37" spans="1:31" ht="21" customHeight="1" x14ac:dyDescent="0.3">
      <c r="C37" s="370" t="s">
        <v>238</v>
      </c>
      <c r="D37" s="175" t="s">
        <v>235</v>
      </c>
      <c r="E37" s="34" t="s">
        <v>234</v>
      </c>
      <c r="F37" s="176" t="s">
        <v>226</v>
      </c>
      <c r="G37" s="34" t="s">
        <v>236</v>
      </c>
      <c r="I37" s="878"/>
      <c r="J37" s="731"/>
      <c r="K37" s="732"/>
      <c r="L37" s="901">
        <f>'Kat. 1 U-Wert'!F76</f>
        <v>0.95</v>
      </c>
      <c r="M37" s="902"/>
      <c r="N37" s="904">
        <f>N19</f>
        <v>2.7</v>
      </c>
      <c r="O37" s="934"/>
      <c r="P37" s="935"/>
      <c r="Q37" s="727"/>
      <c r="R37" s="728"/>
      <c r="S37" s="866"/>
      <c r="T37" s="895"/>
      <c r="U37" s="852"/>
      <c r="V37" s="912"/>
      <c r="W37" s="780"/>
      <c r="X37" s="780"/>
      <c r="Y37" s="780"/>
      <c r="Z37" s="780"/>
      <c r="AA37" s="780"/>
      <c r="AB37" s="780"/>
      <c r="AC37" s="781"/>
      <c r="AD37" s="21"/>
      <c r="AE37" s="21"/>
    </row>
    <row r="38" spans="1:31" ht="30.75" customHeight="1" x14ac:dyDescent="0.3">
      <c r="C38" s="371">
        <f>E38*G38</f>
        <v>40.28</v>
      </c>
      <c r="D38" s="175" t="s">
        <v>235</v>
      </c>
      <c r="E38" s="399">
        <f>L37</f>
        <v>0.95</v>
      </c>
      <c r="F38" s="176" t="s">
        <v>226</v>
      </c>
      <c r="G38" s="199">
        <f>N17</f>
        <v>42.400000000000006</v>
      </c>
      <c r="I38" s="878"/>
      <c r="J38" s="731"/>
      <c r="K38" s="732"/>
      <c r="L38" s="897" t="s">
        <v>430</v>
      </c>
      <c r="M38" s="897"/>
      <c r="N38" s="889" t="s">
        <v>428</v>
      </c>
      <c r="O38" s="890"/>
      <c r="P38" s="772"/>
      <c r="Q38" s="727"/>
      <c r="R38" s="728"/>
      <c r="S38" s="898" t="s">
        <v>334</v>
      </c>
      <c r="T38" s="872" t="s">
        <v>335</v>
      </c>
      <c r="U38" s="774"/>
      <c r="V38" s="884" t="s">
        <v>348</v>
      </c>
      <c r="W38" s="761"/>
      <c r="X38" s="761"/>
      <c r="Y38" s="761"/>
      <c r="Z38" s="761"/>
      <c r="AA38" s="761"/>
      <c r="AB38" s="761"/>
      <c r="AC38" s="762"/>
      <c r="AD38" s="21"/>
      <c r="AE38" s="21"/>
    </row>
    <row r="39" spans="1:31" ht="15" customHeight="1" thickBot="1" x14ac:dyDescent="0.35">
      <c r="C39" s="4"/>
      <c r="D39" s="251"/>
      <c r="E39" s="175"/>
      <c r="F39" s="34"/>
      <c r="G39" s="176"/>
      <c r="H39" s="34"/>
      <c r="I39" s="878"/>
      <c r="J39" s="731"/>
      <c r="K39" s="732"/>
      <c r="L39" s="21"/>
      <c r="N39" s="34"/>
      <c r="O39" s="14"/>
      <c r="P39" s="14"/>
      <c r="Q39" s="727"/>
      <c r="R39" s="728"/>
      <c r="S39" s="932"/>
      <c r="T39" s="727"/>
      <c r="U39" s="729"/>
      <c r="V39" s="878"/>
      <c r="W39" s="731"/>
      <c r="X39" s="731"/>
      <c r="Y39" s="731"/>
      <c r="Z39" s="731"/>
      <c r="AA39" s="731"/>
      <c r="AB39" s="731"/>
      <c r="AC39" s="754"/>
      <c r="AD39" s="21"/>
      <c r="AE39" s="21"/>
    </row>
    <row r="40" spans="1:31" ht="15" thickBot="1" x14ac:dyDescent="0.35">
      <c r="C40" s="908" t="s">
        <v>288</v>
      </c>
      <c r="D40" s="909"/>
      <c r="E40" s="909"/>
      <c r="F40" s="909"/>
      <c r="G40" s="909"/>
      <c r="H40" s="909"/>
      <c r="I40" s="909"/>
      <c r="J40" s="909"/>
      <c r="K40" s="909"/>
      <c r="L40" s="909"/>
      <c r="M40" s="909"/>
      <c r="N40" s="909"/>
      <c r="O40" s="909"/>
      <c r="P40" s="909"/>
      <c r="Q40" s="909"/>
      <c r="R40" s="909"/>
      <c r="S40" s="909"/>
      <c r="T40" s="909"/>
      <c r="U40" s="909"/>
      <c r="V40" s="909"/>
      <c r="W40" s="909"/>
      <c r="X40" s="909"/>
      <c r="Y40" s="909"/>
      <c r="Z40" s="909"/>
      <c r="AA40" s="909"/>
      <c r="AB40" s="909"/>
      <c r="AC40" s="910"/>
    </row>
    <row r="41" spans="1:31" ht="15" thickBot="1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</sheetData>
  <mergeCells count="87">
    <mergeCell ref="C40:AC40"/>
    <mergeCell ref="A3:C3"/>
    <mergeCell ref="A4:C4"/>
    <mergeCell ref="C35:H35"/>
    <mergeCell ref="C36:H36"/>
    <mergeCell ref="I35:K39"/>
    <mergeCell ref="N35:P35"/>
    <mergeCell ref="N36:P36"/>
    <mergeCell ref="N37:P37"/>
    <mergeCell ref="N38:P38"/>
    <mergeCell ref="V30:AC32"/>
    <mergeCell ref="V36:AC37"/>
    <mergeCell ref="V38:AC39"/>
    <mergeCell ref="V35:AC35"/>
    <mergeCell ref="C33:AC33"/>
    <mergeCell ref="V25:AC25"/>
    <mergeCell ref="V26:AC27"/>
    <mergeCell ref="V28:AC29"/>
    <mergeCell ref="C26:H26"/>
    <mergeCell ref="C25:H25"/>
    <mergeCell ref="D3:K4"/>
    <mergeCell ref="D6:K6"/>
    <mergeCell ref="Q3:R21"/>
    <mergeCell ref="D16:K17"/>
    <mergeCell ref="D18:K18"/>
    <mergeCell ref="I25:K25"/>
    <mergeCell ref="I26:K26"/>
    <mergeCell ref="I27:K27"/>
    <mergeCell ref="I28:K28"/>
    <mergeCell ref="T28:U29"/>
    <mergeCell ref="N28:P28"/>
    <mergeCell ref="L26:M26"/>
    <mergeCell ref="T30:U32"/>
    <mergeCell ref="L31:M31"/>
    <mergeCell ref="O31:P31"/>
    <mergeCell ref="L38:M38"/>
    <mergeCell ref="S38:S39"/>
    <mergeCell ref="T38:U39"/>
    <mergeCell ref="L35:M35"/>
    <mergeCell ref="Q35:R39"/>
    <mergeCell ref="S35:U35"/>
    <mergeCell ref="L36:M36"/>
    <mergeCell ref="S36:S37"/>
    <mergeCell ref="T36:U37"/>
    <mergeCell ref="L37:M37"/>
    <mergeCell ref="I30:J30"/>
    <mergeCell ref="I31:J31"/>
    <mergeCell ref="L28:M28"/>
    <mergeCell ref="Q28:R28"/>
    <mergeCell ref="S28:S29"/>
    <mergeCell ref="L30:M30"/>
    <mergeCell ref="O30:P30"/>
    <mergeCell ref="S30:S32"/>
    <mergeCell ref="S26:S27"/>
    <mergeCell ref="T26:U27"/>
    <mergeCell ref="L27:M27"/>
    <mergeCell ref="N25:P25"/>
    <mergeCell ref="N26:P26"/>
    <mergeCell ref="N27:P27"/>
    <mergeCell ref="Q25:R25"/>
    <mergeCell ref="Q26:R26"/>
    <mergeCell ref="Q27:R27"/>
    <mergeCell ref="S25:U25"/>
    <mergeCell ref="L25:M25"/>
    <mergeCell ref="S2:T2"/>
    <mergeCell ref="U2:AC2"/>
    <mergeCell ref="L3:P3"/>
    <mergeCell ref="S3:T4"/>
    <mergeCell ref="U21:AC21"/>
    <mergeCell ref="U19:AC19"/>
    <mergeCell ref="U20:AC20"/>
    <mergeCell ref="A5:B5"/>
    <mergeCell ref="L5:P5"/>
    <mergeCell ref="U5:AC5"/>
    <mergeCell ref="L16:P16"/>
    <mergeCell ref="L18:P18"/>
    <mergeCell ref="U7:W7"/>
    <mergeCell ref="U8:W8"/>
    <mergeCell ref="X7:Z7"/>
    <mergeCell ref="AA7:AB7"/>
    <mergeCell ref="S5:T5"/>
    <mergeCell ref="U6:AA6"/>
    <mergeCell ref="S18:T18"/>
    <mergeCell ref="Y11:AA11"/>
    <mergeCell ref="Y12:AA12"/>
    <mergeCell ref="U18:Y18"/>
    <mergeCell ref="S16:T1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BC3-2D90-4A48-8563-40A1485F6950}">
  <dimension ref="A1:AE26"/>
  <sheetViews>
    <sheetView zoomScaleNormal="100" workbookViewId="0"/>
  </sheetViews>
  <sheetFormatPr baseColWidth="10" defaultRowHeight="14.4" outlineLevelCol="1" x14ac:dyDescent="0.3"/>
  <cols>
    <col min="1" max="1" width="4.33203125" customWidth="1" outlineLevel="1"/>
    <col min="2" max="2" width="6.5546875" customWidth="1" outlineLevel="1"/>
    <col min="3" max="3" width="2.6640625" customWidth="1" outlineLevel="1"/>
    <col min="4" max="4" width="6.33203125" customWidth="1" outlineLevel="1"/>
    <col min="5" max="5" width="1.88671875" customWidth="1" outlineLevel="1"/>
    <col min="6" max="6" width="5.109375" customWidth="1" outlineLevel="1"/>
    <col min="7" max="7" width="1.6640625" customWidth="1" outlineLevel="1"/>
    <col min="8" max="8" width="6.109375" customWidth="1" outlineLevel="1"/>
    <col min="9" max="9" width="1.44140625" customWidth="1" outlineLevel="1"/>
    <col min="10" max="10" width="5.88671875" customWidth="1" outlineLevel="1"/>
    <col min="11" max="11" width="8.109375" customWidth="1" outlineLevel="1"/>
    <col min="12" max="12" width="2.5546875" customWidth="1" outlineLevel="1"/>
    <col min="13" max="13" width="5.5546875" customWidth="1" outlineLevel="1"/>
    <col min="14" max="14" width="2.5546875" customWidth="1" outlineLevel="1"/>
    <col min="15" max="15" width="5.44140625" customWidth="1" outlineLevel="1"/>
    <col min="16" max="16" width="2.33203125" customWidth="1" outlineLevel="1"/>
    <col min="17" max="17" width="12.5546875" customWidth="1" outlineLevel="1"/>
    <col min="18" max="18" width="39.88671875" customWidth="1" outlineLevel="1"/>
    <col min="19" max="19" width="17.6640625" customWidth="1" outlineLevel="1"/>
    <col min="20" max="20" width="13.44140625" customWidth="1"/>
    <col min="21" max="21" width="2" customWidth="1"/>
    <col min="22" max="22" width="5.33203125" customWidth="1"/>
    <col min="23" max="23" width="2.6640625" customWidth="1"/>
    <col min="25" max="25" width="3.6640625" customWidth="1"/>
    <col min="26" max="26" width="12.109375" customWidth="1"/>
    <col min="27" max="27" width="3.44140625" customWidth="1"/>
    <col min="28" max="28" width="14" customWidth="1"/>
    <col min="29" max="29" width="2" customWidth="1"/>
    <col min="30" max="30" width="16.88671875" customWidth="1"/>
    <col min="31" max="31" width="19.5546875" customWidth="1"/>
  </cols>
  <sheetData>
    <row r="1" spans="1:31" ht="15" thickBot="1" x14ac:dyDescent="0.35"/>
    <row r="2" spans="1:31" ht="16.2" thickBot="1" x14ac:dyDescent="0.35">
      <c r="R2" s="921" t="s">
        <v>0</v>
      </c>
      <c r="S2" s="922"/>
      <c r="T2" s="921" t="s">
        <v>1</v>
      </c>
      <c r="U2" s="923"/>
      <c r="V2" s="923"/>
      <c r="W2" s="923"/>
      <c r="X2" s="923"/>
      <c r="Y2" s="923"/>
      <c r="Z2" s="923"/>
      <c r="AA2" s="923"/>
      <c r="AB2" s="922"/>
    </row>
    <row r="3" spans="1:31" ht="25.5" customHeight="1" x14ac:dyDescent="0.3">
      <c r="A3" s="752"/>
      <c r="B3" s="779"/>
      <c r="C3" s="752" t="s">
        <v>60</v>
      </c>
      <c r="D3" s="752"/>
      <c r="E3" s="752"/>
      <c r="F3" s="752"/>
      <c r="G3" s="752"/>
      <c r="H3" s="752"/>
      <c r="I3" s="752"/>
      <c r="J3" s="779"/>
      <c r="K3" s="752" t="s">
        <v>225</v>
      </c>
      <c r="L3" s="752"/>
      <c r="M3" s="752"/>
      <c r="N3" s="752"/>
      <c r="O3" s="752"/>
      <c r="P3" s="751"/>
      <c r="Q3" s="779"/>
      <c r="R3" s="936" t="s">
        <v>350</v>
      </c>
      <c r="S3" s="769"/>
      <c r="T3" s="100" t="s">
        <v>107</v>
      </c>
      <c r="U3" s="170"/>
      <c r="V3" s="170"/>
      <c r="W3" s="170"/>
      <c r="X3" s="172" t="s">
        <v>239</v>
      </c>
      <c r="Y3" s="170"/>
      <c r="Z3" s="291">
        <v>77</v>
      </c>
      <c r="AA3" s="170" t="s">
        <v>54</v>
      </c>
      <c r="AB3" s="171"/>
    </row>
    <row r="4" spans="1:31" ht="19.5" customHeight="1" x14ac:dyDescent="0.3">
      <c r="A4" s="728"/>
      <c r="B4" s="782"/>
      <c r="C4" s="34"/>
      <c r="D4" s="21"/>
      <c r="E4" s="21"/>
      <c r="F4" s="21"/>
      <c r="G4" s="21"/>
      <c r="H4" s="21"/>
      <c r="I4" s="21"/>
      <c r="J4" s="166"/>
      <c r="K4" s="251" t="s">
        <v>341</v>
      </c>
      <c r="L4" s="236" t="s">
        <v>235</v>
      </c>
      <c r="M4" s="243">
        <f>Z3</f>
        <v>77</v>
      </c>
      <c r="N4" s="21"/>
      <c r="O4" s="21"/>
      <c r="P4" s="730"/>
      <c r="Q4" s="754"/>
      <c r="R4" s="937"/>
      <c r="S4" s="836"/>
      <c r="T4" s="59"/>
      <c r="U4" s="10"/>
      <c r="V4" s="173"/>
      <c r="W4" s="10"/>
      <c r="X4" s="10"/>
      <c r="Y4" s="10"/>
      <c r="Z4" s="174"/>
      <c r="AA4" s="10"/>
      <c r="AB4" s="45"/>
    </row>
    <row r="5" spans="1:31" ht="18.75" customHeight="1" x14ac:dyDescent="0.3">
      <c r="A5" s="21"/>
      <c r="B5" s="94"/>
      <c r="C5" s="731" t="s">
        <v>61</v>
      </c>
      <c r="D5" s="731"/>
      <c r="E5" s="731"/>
      <c r="F5" s="731"/>
      <c r="G5" s="731"/>
      <c r="H5" s="731"/>
      <c r="I5" s="731"/>
      <c r="J5" s="754"/>
      <c r="K5" s="761" t="s">
        <v>101</v>
      </c>
      <c r="L5" s="761"/>
      <c r="M5" s="761"/>
      <c r="N5" s="761"/>
      <c r="O5" s="761"/>
      <c r="P5" s="730"/>
      <c r="Q5" s="754"/>
      <c r="R5" s="812" t="s">
        <v>338</v>
      </c>
      <c r="S5" s="813"/>
      <c r="T5" s="837" t="s">
        <v>108</v>
      </c>
      <c r="U5" s="812"/>
      <c r="V5" s="812"/>
      <c r="W5" s="812"/>
      <c r="X5" s="812"/>
      <c r="Y5" s="812"/>
      <c r="Z5" s="812"/>
      <c r="AA5" s="812"/>
      <c r="AB5" s="813"/>
    </row>
    <row r="6" spans="1:31" ht="18" customHeight="1" x14ac:dyDescent="0.3">
      <c r="A6" s="21"/>
      <c r="B6" s="166"/>
      <c r="C6" s="21"/>
      <c r="D6" s="251" t="s">
        <v>238</v>
      </c>
      <c r="E6" s="175" t="s">
        <v>235</v>
      </c>
      <c r="F6" s="34" t="s">
        <v>234</v>
      </c>
      <c r="G6" s="176" t="s">
        <v>226</v>
      </c>
      <c r="H6" s="250" t="s">
        <v>236</v>
      </c>
      <c r="J6" s="20"/>
      <c r="K6" s="251" t="s">
        <v>234</v>
      </c>
      <c r="L6" s="252" t="s">
        <v>235</v>
      </c>
      <c r="M6" s="252" t="s">
        <v>268</v>
      </c>
      <c r="N6" s="34" t="s">
        <v>228</v>
      </c>
      <c r="O6" s="250" t="s">
        <v>266</v>
      </c>
      <c r="P6" s="730"/>
      <c r="Q6" s="754"/>
      <c r="R6" s="159" t="str">
        <f>'Kat. 1 U-Wert'!B27</f>
        <v>Kellerdecke 
Stahlbeton massiv</v>
      </c>
      <c r="S6" s="79" t="s">
        <v>357</v>
      </c>
      <c r="T6" s="57" t="str">
        <f>'Kat. 1 U-Wert'!B27</f>
        <v>Kellerdecke 
Stahlbeton massiv</v>
      </c>
      <c r="U6" s="15"/>
      <c r="V6" s="15"/>
      <c r="W6" s="15"/>
      <c r="X6" s="15"/>
      <c r="Y6" s="728" t="s">
        <v>358</v>
      </c>
      <c r="Z6" s="728"/>
      <c r="AA6" s="728"/>
      <c r="AB6" s="776">
        <f>'Kat. 1 U-Wert'!F27</f>
        <v>1</v>
      </c>
    </row>
    <row r="7" spans="1:31" ht="18" customHeight="1" x14ac:dyDescent="0.3">
      <c r="A7" s="21"/>
      <c r="B7" s="166"/>
      <c r="C7" s="21"/>
      <c r="D7" s="536">
        <f>F7*H7</f>
        <v>77</v>
      </c>
      <c r="E7" s="175" t="s">
        <v>235</v>
      </c>
      <c r="F7" s="297">
        <f>K7</f>
        <v>1</v>
      </c>
      <c r="G7" s="176" t="s">
        <v>226</v>
      </c>
      <c r="H7" s="250">
        <f>M4</f>
        <v>77</v>
      </c>
      <c r="J7" s="20"/>
      <c r="K7" s="354">
        <f>M7/O7</f>
        <v>1</v>
      </c>
      <c r="L7" s="252" t="s">
        <v>235</v>
      </c>
      <c r="M7" s="211">
        <v>1</v>
      </c>
      <c r="N7" s="34" t="s">
        <v>228</v>
      </c>
      <c r="O7" s="383">
        <f>T10+T12</f>
        <v>1</v>
      </c>
      <c r="P7" s="730"/>
      <c r="Q7" s="754"/>
      <c r="R7" s="159" t="str">
        <f>'Kat. 1 U-Wert'!B28</f>
        <v>Kellerdecke 
als Holzbalkendecke</v>
      </c>
      <c r="S7" s="79" t="s">
        <v>356</v>
      </c>
      <c r="T7" s="755" t="str">
        <f>'Kat. 1 U-Wert'!B28</f>
        <v>Kellerdecke 
als Holzbalkendecke</v>
      </c>
      <c r="U7" s="765"/>
      <c r="V7" s="765"/>
      <c r="W7" s="765"/>
      <c r="X7" s="765"/>
      <c r="Y7" s="728" t="s">
        <v>358</v>
      </c>
      <c r="Z7" s="728"/>
      <c r="AA7" s="728"/>
      <c r="AB7" s="776"/>
    </row>
    <row r="8" spans="1:31" ht="18" customHeight="1" thickBot="1" x14ac:dyDescent="0.35">
      <c r="A8" s="213"/>
      <c r="B8" s="214"/>
      <c r="C8" s="213"/>
      <c r="D8" s="132"/>
      <c r="E8" s="132"/>
      <c r="F8" s="132"/>
      <c r="G8" s="132"/>
      <c r="H8" s="132"/>
      <c r="I8" s="132"/>
      <c r="J8" s="215"/>
      <c r="K8" s="355"/>
      <c r="L8" s="229"/>
      <c r="M8" s="132"/>
      <c r="N8" s="132"/>
      <c r="O8" s="132"/>
      <c r="P8" s="733"/>
      <c r="Q8" s="817"/>
      <c r="R8" s="224" t="str">
        <f>'Kat. 1 U-Wert'!B29</f>
        <v>Boden gegen Erdreich,
Stahlbeton massiv</v>
      </c>
      <c r="S8" s="222" t="s">
        <v>355</v>
      </c>
      <c r="T8" s="938" t="s">
        <v>96</v>
      </c>
      <c r="U8" s="939"/>
      <c r="V8" s="939"/>
      <c r="W8" s="50"/>
      <c r="X8" s="240">
        <v>0</v>
      </c>
      <c r="Y8" s="134" t="s">
        <v>230</v>
      </c>
      <c r="Z8" s="940" t="s">
        <v>232</v>
      </c>
      <c r="AA8" s="940"/>
      <c r="AB8" s="386">
        <v>0.03</v>
      </c>
    </row>
    <row r="9" spans="1:31" ht="15.6" x14ac:dyDescent="0.3">
      <c r="A9" s="34"/>
      <c r="B9" s="34"/>
      <c r="C9" s="34"/>
      <c r="T9" s="249" t="s">
        <v>405</v>
      </c>
      <c r="U9" s="184" t="s">
        <v>235</v>
      </c>
      <c r="V9" s="185" t="s">
        <v>262</v>
      </c>
      <c r="W9" s="184" t="s">
        <v>233</v>
      </c>
      <c r="X9" s="36" t="s">
        <v>227</v>
      </c>
      <c r="Y9" s="36" t="s">
        <v>228</v>
      </c>
      <c r="Z9" s="36" t="s">
        <v>265</v>
      </c>
      <c r="AA9" s="204" t="s">
        <v>233</v>
      </c>
      <c r="AB9" s="278" t="s">
        <v>263</v>
      </c>
    </row>
    <row r="10" spans="1:31" x14ac:dyDescent="0.3">
      <c r="A10" s="34"/>
      <c r="B10" s="34"/>
      <c r="C10" s="34"/>
      <c r="T10" s="281">
        <f>V10+(X10/Z10)+AB10</f>
        <v>0</v>
      </c>
      <c r="U10" s="188" t="s">
        <v>235</v>
      </c>
      <c r="V10" s="189">
        <f>IF(X8&gt;0,'Kat. 1 U-Wert'!C51,0)</f>
        <v>0</v>
      </c>
      <c r="W10" s="190" t="s">
        <v>233</v>
      </c>
      <c r="X10" s="189">
        <f>X8</f>
        <v>0</v>
      </c>
      <c r="Y10" s="67" t="s">
        <v>228</v>
      </c>
      <c r="Z10" s="191">
        <f>AB8</f>
        <v>0.03</v>
      </c>
      <c r="AA10" s="188" t="s">
        <v>233</v>
      </c>
      <c r="AB10" s="279">
        <f>IF(X8&gt;0,'Kat. 1 U-Wert'!C52,0)</f>
        <v>0</v>
      </c>
    </row>
    <row r="11" spans="1:31" ht="15.6" x14ac:dyDescent="0.3">
      <c r="A11" s="34"/>
      <c r="B11" s="34"/>
      <c r="C11" s="34"/>
      <c r="T11" s="249" t="s">
        <v>404</v>
      </c>
      <c r="U11" s="204" t="s">
        <v>235</v>
      </c>
      <c r="V11" s="36">
        <v>1</v>
      </c>
      <c r="W11" s="36" t="s">
        <v>228</v>
      </c>
      <c r="X11" s="758" t="s">
        <v>358</v>
      </c>
      <c r="Y11" s="758"/>
      <c r="Z11" s="758"/>
      <c r="AA11" s="39"/>
      <c r="AB11" s="278"/>
    </row>
    <row r="12" spans="1:31" x14ac:dyDescent="0.3">
      <c r="A12" s="34"/>
      <c r="B12" s="34"/>
      <c r="C12" s="34"/>
      <c r="T12" s="282">
        <f>V12/X12</f>
        <v>1</v>
      </c>
      <c r="U12" s="188" t="s">
        <v>235</v>
      </c>
      <c r="V12" s="67">
        <v>1</v>
      </c>
      <c r="W12" s="67" t="s">
        <v>228</v>
      </c>
      <c r="X12" s="759">
        <f>AB6</f>
        <v>1</v>
      </c>
      <c r="Y12" s="759"/>
      <c r="Z12" s="759"/>
      <c r="AA12" s="40"/>
      <c r="AB12" s="280"/>
    </row>
    <row r="13" spans="1:31" ht="15.6" x14ac:dyDescent="0.3">
      <c r="A13" s="34"/>
      <c r="B13" s="34"/>
      <c r="C13" s="34"/>
      <c r="T13" s="249" t="s">
        <v>403</v>
      </c>
      <c r="U13" s="204" t="s">
        <v>235</v>
      </c>
      <c r="V13" s="36"/>
      <c r="W13" s="36"/>
      <c r="X13" s="36" t="s">
        <v>406</v>
      </c>
      <c r="Y13" s="284" t="s">
        <v>233</v>
      </c>
      <c r="Z13" s="36" t="s">
        <v>407</v>
      </c>
      <c r="AA13" s="39"/>
      <c r="AB13" s="278"/>
    </row>
    <row r="14" spans="1:31" x14ac:dyDescent="0.3">
      <c r="A14" s="34"/>
      <c r="B14" s="34"/>
      <c r="C14" s="34"/>
      <c r="T14" s="288">
        <f>X14+Z14</f>
        <v>1</v>
      </c>
      <c r="U14" s="188" t="s">
        <v>235</v>
      </c>
      <c r="V14" s="67"/>
      <c r="W14" s="67"/>
      <c r="X14" s="285">
        <f>T12</f>
        <v>1</v>
      </c>
      <c r="Y14" s="286" t="s">
        <v>233</v>
      </c>
      <c r="Z14" s="287">
        <f>T10</f>
        <v>0</v>
      </c>
      <c r="AA14" s="40"/>
      <c r="AB14" s="280"/>
    </row>
    <row r="15" spans="1:31" ht="15" thickBot="1" x14ac:dyDescent="0.35">
      <c r="A15" s="34"/>
      <c r="B15" s="34"/>
      <c r="C15" s="34"/>
      <c r="T15" s="14"/>
      <c r="U15" s="198"/>
      <c r="V15" s="14"/>
      <c r="W15" s="14"/>
      <c r="X15" s="14"/>
      <c r="Y15" s="329"/>
      <c r="Z15" s="14"/>
      <c r="AB15" s="14"/>
    </row>
    <row r="16" spans="1:31" ht="15" thickBot="1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8"/>
    </row>
    <row r="17" spans="1:31" ht="31.5" customHeight="1" x14ac:dyDescent="0.3">
      <c r="B17" s="884" t="s">
        <v>299</v>
      </c>
      <c r="C17" s="761"/>
      <c r="D17" s="761"/>
      <c r="E17" s="761"/>
      <c r="F17" s="761"/>
      <c r="G17" s="761"/>
      <c r="H17" s="869" t="s">
        <v>429</v>
      </c>
      <c r="I17" s="870"/>
      <c r="J17" s="871"/>
      <c r="K17" s="872" t="s">
        <v>424</v>
      </c>
      <c r="L17" s="774"/>
      <c r="M17" s="28" t="s">
        <v>423</v>
      </c>
      <c r="N17" s="30"/>
      <c r="O17" s="29"/>
      <c r="P17" s="872" t="s">
        <v>425</v>
      </c>
      <c r="Q17" s="873"/>
      <c r="R17" s="874" t="s">
        <v>353</v>
      </c>
      <c r="S17" s="875"/>
      <c r="T17" s="920"/>
      <c r="U17" s="924"/>
      <c r="V17" s="925"/>
      <c r="W17" s="925"/>
      <c r="X17" s="925"/>
      <c r="Y17" s="925"/>
      <c r="Z17" s="925"/>
      <c r="AA17" s="925"/>
      <c r="AB17" s="926"/>
      <c r="AE17" s="20"/>
    </row>
    <row r="18" spans="1:31" ht="25.5" customHeight="1" x14ac:dyDescent="0.3">
      <c r="B18" s="878" t="s">
        <v>61</v>
      </c>
      <c r="C18" s="731"/>
      <c r="D18" s="731"/>
      <c r="E18" s="731"/>
      <c r="F18" s="731"/>
      <c r="G18" s="731"/>
      <c r="H18" s="879" t="s">
        <v>230</v>
      </c>
      <c r="I18" s="880"/>
      <c r="J18" s="881"/>
      <c r="K18" s="895" t="s">
        <v>56</v>
      </c>
      <c r="L18" s="852"/>
      <c r="M18" s="895" t="s">
        <v>56</v>
      </c>
      <c r="N18" s="800"/>
      <c r="O18" s="852"/>
      <c r="P18" s="895" t="s">
        <v>426</v>
      </c>
      <c r="Q18" s="800"/>
      <c r="R18" s="851" t="s">
        <v>680</v>
      </c>
      <c r="S18" s="872" t="s">
        <v>330</v>
      </c>
      <c r="T18" s="774"/>
      <c r="U18" s="884" t="s">
        <v>354</v>
      </c>
      <c r="V18" s="761"/>
      <c r="W18" s="761"/>
      <c r="X18" s="761"/>
      <c r="Y18" s="761"/>
      <c r="Z18" s="761"/>
      <c r="AA18" s="761"/>
      <c r="AB18" s="762"/>
      <c r="AD18" s="21"/>
      <c r="AE18" s="166"/>
    </row>
    <row r="19" spans="1:31" ht="24" customHeight="1" x14ac:dyDescent="0.3">
      <c r="B19" s="370" t="s">
        <v>238</v>
      </c>
      <c r="C19" s="175" t="s">
        <v>235</v>
      </c>
      <c r="D19" s="34" t="s">
        <v>234</v>
      </c>
      <c r="E19" s="176" t="s">
        <v>226</v>
      </c>
      <c r="F19" s="34" t="s">
        <v>236</v>
      </c>
      <c r="G19" s="34"/>
      <c r="H19" s="941">
        <f>_xlfn.CEILING.MATH(H23,0.02)</f>
        <v>0.1</v>
      </c>
      <c r="I19" s="911"/>
      <c r="J19" s="942"/>
      <c r="K19" s="918">
        <f>'Kat. 1 U-Wert'!F102</f>
        <v>0.25</v>
      </c>
      <c r="L19" s="919"/>
      <c r="M19" s="889">
        <f>K7</f>
        <v>1</v>
      </c>
      <c r="N19" s="890"/>
      <c r="O19" s="772"/>
      <c r="P19" s="914">
        <f>AB8</f>
        <v>0.03</v>
      </c>
      <c r="Q19" s="915"/>
      <c r="R19" s="866"/>
      <c r="S19" s="895"/>
      <c r="T19" s="852"/>
      <c r="U19" s="912"/>
      <c r="V19" s="780"/>
      <c r="W19" s="780"/>
      <c r="X19" s="780"/>
      <c r="Y19" s="780"/>
      <c r="Z19" s="780"/>
      <c r="AA19" s="780"/>
      <c r="AB19" s="781"/>
      <c r="AD19" s="21"/>
      <c r="AE19" s="166"/>
    </row>
    <row r="20" spans="1:31" ht="32.25" customHeight="1" x14ac:dyDescent="0.3">
      <c r="B20" s="371">
        <f>D20*F20</f>
        <v>19.25</v>
      </c>
      <c r="C20" s="175" t="s">
        <v>235</v>
      </c>
      <c r="D20" s="297">
        <f>K19</f>
        <v>0.25</v>
      </c>
      <c r="E20" s="176" t="s">
        <v>226</v>
      </c>
      <c r="F20" s="445">
        <f>M4</f>
        <v>77</v>
      </c>
      <c r="H20" s="894" t="s">
        <v>431</v>
      </c>
      <c r="I20" s="943"/>
      <c r="J20" s="944"/>
      <c r="K20" s="945" t="s">
        <v>430</v>
      </c>
      <c r="L20" s="903"/>
      <c r="M20" s="889" t="s">
        <v>428</v>
      </c>
      <c r="N20" s="890"/>
      <c r="O20" s="772"/>
      <c r="P20" s="889" t="s">
        <v>427</v>
      </c>
      <c r="Q20" s="890"/>
      <c r="R20" s="851" t="s">
        <v>681</v>
      </c>
      <c r="S20" s="872" t="s">
        <v>344</v>
      </c>
      <c r="T20" s="774"/>
      <c r="U20" s="884" t="s">
        <v>623</v>
      </c>
      <c r="V20" s="761"/>
      <c r="W20" s="761"/>
      <c r="X20" s="761"/>
      <c r="Y20" s="761"/>
      <c r="Z20" s="761"/>
      <c r="AA20" s="761"/>
      <c r="AB20" s="762"/>
      <c r="AD20" s="21"/>
      <c r="AE20" s="166"/>
    </row>
    <row r="21" spans="1:31" ht="18" customHeight="1" x14ac:dyDescent="0.3">
      <c r="B21" s="1"/>
      <c r="E21" s="21"/>
      <c r="F21" s="21"/>
      <c r="G21" s="21"/>
      <c r="H21" s="168"/>
      <c r="I21" s="34"/>
      <c r="J21" s="34"/>
      <c r="K21" s="37"/>
      <c r="L21" s="37"/>
      <c r="M21" s="37"/>
      <c r="N21" s="36"/>
      <c r="O21" s="36"/>
      <c r="P21" s="36"/>
      <c r="Q21" s="36"/>
      <c r="R21" s="866"/>
      <c r="S21" s="895"/>
      <c r="T21" s="852"/>
      <c r="U21" s="912"/>
      <c r="V21" s="780"/>
      <c r="W21" s="780"/>
      <c r="X21" s="780"/>
      <c r="Y21" s="780"/>
      <c r="Z21" s="780"/>
      <c r="AA21" s="780"/>
      <c r="AB21" s="781"/>
      <c r="AD21" s="21"/>
      <c r="AE21" s="166"/>
    </row>
    <row r="22" spans="1:31" ht="18.75" customHeight="1" x14ac:dyDescent="0.3">
      <c r="B22" s="1"/>
      <c r="E22" s="34"/>
      <c r="F22" s="34"/>
      <c r="G22" s="34"/>
      <c r="H22" s="884" t="s">
        <v>419</v>
      </c>
      <c r="I22" s="761"/>
      <c r="J22" s="210" t="s">
        <v>235</v>
      </c>
      <c r="K22" s="761" t="s">
        <v>420</v>
      </c>
      <c r="L22" s="761"/>
      <c r="M22" s="210" t="s">
        <v>170</v>
      </c>
      <c r="N22" s="761" t="s">
        <v>421</v>
      </c>
      <c r="O22" s="761"/>
      <c r="P22" s="210" t="s">
        <v>226</v>
      </c>
      <c r="Q22" s="37" t="s">
        <v>422</v>
      </c>
      <c r="R22" s="886" t="s">
        <v>370</v>
      </c>
      <c r="S22" s="872" t="s">
        <v>682</v>
      </c>
      <c r="T22" s="774"/>
      <c r="U22" s="884" t="s">
        <v>623</v>
      </c>
      <c r="V22" s="761"/>
      <c r="W22" s="761"/>
      <c r="X22" s="761"/>
      <c r="Y22" s="761"/>
      <c r="Z22" s="761"/>
      <c r="AA22" s="761"/>
      <c r="AB22" s="762"/>
      <c r="AD22" s="21"/>
      <c r="AE22" s="166"/>
    </row>
    <row r="23" spans="1:31" ht="17.25" customHeight="1" x14ac:dyDescent="0.3">
      <c r="B23" s="1"/>
      <c r="E23" s="34"/>
      <c r="F23" s="34"/>
      <c r="G23" s="34"/>
      <c r="H23" s="930">
        <f>(K23-N23)*Q23</f>
        <v>0.09</v>
      </c>
      <c r="I23" s="888"/>
      <c r="J23" s="236" t="s">
        <v>235</v>
      </c>
      <c r="K23" s="888">
        <f>1/K19</f>
        <v>4</v>
      </c>
      <c r="L23" s="888"/>
      <c r="M23" s="236" t="s">
        <v>170</v>
      </c>
      <c r="N23" s="888">
        <f>1/K7</f>
        <v>1</v>
      </c>
      <c r="O23" s="888"/>
      <c r="P23" s="236" t="s">
        <v>226</v>
      </c>
      <c r="Q23" s="369">
        <f>P19</f>
        <v>0.03</v>
      </c>
      <c r="R23" s="886"/>
      <c r="S23" s="727"/>
      <c r="T23" s="729"/>
      <c r="U23" s="878"/>
      <c r="V23" s="731"/>
      <c r="W23" s="731"/>
      <c r="X23" s="731"/>
      <c r="Y23" s="731"/>
      <c r="Z23" s="731"/>
      <c r="AA23" s="731"/>
      <c r="AB23" s="754"/>
      <c r="AD23" s="21"/>
      <c r="AE23" s="166"/>
    </row>
    <row r="24" spans="1:31" ht="17.25" customHeight="1" thickBot="1" x14ac:dyDescent="0.35">
      <c r="B24" s="1"/>
      <c r="E24" s="34"/>
      <c r="F24" s="34"/>
      <c r="G24" s="34"/>
      <c r="H24" s="157"/>
      <c r="I24" s="34"/>
      <c r="J24" s="34"/>
      <c r="K24" s="34"/>
      <c r="L24" s="14"/>
      <c r="M24" s="14"/>
      <c r="N24" s="14"/>
      <c r="O24" s="14"/>
      <c r="P24" s="14"/>
      <c r="Q24" s="14"/>
      <c r="R24" s="887"/>
      <c r="S24" s="736"/>
      <c r="T24" s="738"/>
      <c r="U24" s="913"/>
      <c r="V24" s="734"/>
      <c r="W24" s="734"/>
      <c r="X24" s="734"/>
      <c r="Y24" s="734"/>
      <c r="Z24" s="734"/>
      <c r="AA24" s="734"/>
      <c r="AB24" s="817"/>
      <c r="AD24" s="21"/>
      <c r="AE24" s="166"/>
    </row>
    <row r="25" spans="1:31" ht="16.5" customHeight="1" thickBot="1" x14ac:dyDescent="0.35">
      <c r="B25" s="908" t="s">
        <v>288</v>
      </c>
      <c r="C25" s="909"/>
      <c r="D25" s="909"/>
      <c r="E25" s="909"/>
      <c r="F25" s="909"/>
      <c r="G25" s="909"/>
      <c r="H25" s="909"/>
      <c r="I25" s="909"/>
      <c r="J25" s="909"/>
      <c r="K25" s="909"/>
      <c r="L25" s="909"/>
      <c r="M25" s="909"/>
      <c r="N25" s="909"/>
      <c r="O25" s="909"/>
      <c r="P25" s="909"/>
      <c r="Q25" s="909"/>
      <c r="R25" s="909"/>
      <c r="S25" s="909"/>
      <c r="T25" s="909"/>
      <c r="U25" s="909"/>
      <c r="V25" s="909"/>
      <c r="W25" s="909"/>
      <c r="X25" s="909"/>
      <c r="Y25" s="909"/>
      <c r="Z25" s="909"/>
      <c r="AA25" s="909"/>
      <c r="AB25" s="910"/>
      <c r="AC25" s="15"/>
      <c r="AE25" s="20"/>
    </row>
    <row r="26" spans="1:31" ht="15" thickBot="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4"/>
    </row>
  </sheetData>
  <mergeCells count="55">
    <mergeCell ref="B25:AB25"/>
    <mergeCell ref="A3:B3"/>
    <mergeCell ref="A4:B4"/>
    <mergeCell ref="C3:J3"/>
    <mergeCell ref="C5:J5"/>
    <mergeCell ref="P19:Q19"/>
    <mergeCell ref="P20:Q20"/>
    <mergeCell ref="R17:T17"/>
    <mergeCell ref="R18:R19"/>
    <mergeCell ref="R20:R21"/>
    <mergeCell ref="S18:T19"/>
    <mergeCell ref="S20:T21"/>
    <mergeCell ref="B17:G17"/>
    <mergeCell ref="B18:G18"/>
    <mergeCell ref="H17:J17"/>
    <mergeCell ref="H18:J18"/>
    <mergeCell ref="H19:J19"/>
    <mergeCell ref="H20:J20"/>
    <mergeCell ref="K17:L17"/>
    <mergeCell ref="K18:L18"/>
    <mergeCell ref="K19:L19"/>
    <mergeCell ref="K20:L20"/>
    <mergeCell ref="M18:O18"/>
    <mergeCell ref="M19:O19"/>
    <mergeCell ref="M20:O20"/>
    <mergeCell ref="P17:Q17"/>
    <mergeCell ref="P18:Q18"/>
    <mergeCell ref="R22:R24"/>
    <mergeCell ref="U20:AB21"/>
    <mergeCell ref="H22:I22"/>
    <mergeCell ref="H23:I23"/>
    <mergeCell ref="K22:L22"/>
    <mergeCell ref="K23:L23"/>
    <mergeCell ref="N22:O22"/>
    <mergeCell ref="N23:O23"/>
    <mergeCell ref="S22:T24"/>
    <mergeCell ref="U22:AB24"/>
    <mergeCell ref="U18:AB19"/>
    <mergeCell ref="U17:AB17"/>
    <mergeCell ref="Y6:AA6"/>
    <mergeCell ref="Y7:AA7"/>
    <mergeCell ref="AB6:AB7"/>
    <mergeCell ref="T7:X7"/>
    <mergeCell ref="T8:V8"/>
    <mergeCell ref="Z8:AA8"/>
    <mergeCell ref="X11:Z11"/>
    <mergeCell ref="X12:Z12"/>
    <mergeCell ref="K5:O5"/>
    <mergeCell ref="R5:S5"/>
    <mergeCell ref="T5:AB5"/>
    <mergeCell ref="P3:Q8"/>
    <mergeCell ref="R2:S2"/>
    <mergeCell ref="T2:AB2"/>
    <mergeCell ref="K3:O3"/>
    <mergeCell ref="R3:S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6F1A-6CCF-4869-A442-D78D3C29389E}">
  <dimension ref="A1:I57"/>
  <sheetViews>
    <sheetView zoomScaleNormal="100" workbookViewId="0"/>
  </sheetViews>
  <sheetFormatPr baseColWidth="10" defaultRowHeight="14.4" x14ac:dyDescent="0.3"/>
  <cols>
    <col min="1" max="1" width="21.88671875" customWidth="1"/>
    <col min="2" max="2" width="26.5546875" customWidth="1"/>
    <col min="3" max="3" width="34" customWidth="1"/>
    <col min="4" max="4" width="35.5546875" customWidth="1"/>
    <col min="5" max="5" width="5.33203125" customWidth="1"/>
    <col min="6" max="7" width="16.88671875" customWidth="1"/>
    <col min="8" max="8" width="43.44140625" customWidth="1"/>
    <col min="9" max="9" width="18.33203125" customWidth="1"/>
  </cols>
  <sheetData>
    <row r="1" spans="1:9" ht="18" customHeight="1" x14ac:dyDescent="0.3">
      <c r="A1" s="446"/>
      <c r="C1" s="159"/>
    </row>
    <row r="2" spans="1:9" ht="18" customHeight="1" x14ac:dyDescent="0.3">
      <c r="A2" s="245"/>
      <c r="C2" s="159"/>
    </row>
    <row r="3" spans="1:9" ht="18" customHeight="1" x14ac:dyDescent="0.3">
      <c r="A3" s="245"/>
      <c r="C3" s="159"/>
    </row>
    <row r="4" spans="1:9" ht="18" customHeight="1" thickBot="1" x14ac:dyDescent="0.35">
      <c r="A4" s="245" t="s">
        <v>323</v>
      </c>
      <c r="B4" s="245"/>
      <c r="C4" s="245"/>
      <c r="D4" s="245"/>
      <c r="E4" s="245"/>
      <c r="F4" s="245"/>
      <c r="G4" s="245"/>
      <c r="H4" s="245"/>
      <c r="I4" s="245"/>
    </row>
    <row r="5" spans="1:9" ht="18" customHeight="1" x14ac:dyDescent="0.3">
      <c r="A5" s="790" t="s">
        <v>418</v>
      </c>
      <c r="B5" s="17" t="s">
        <v>190</v>
      </c>
      <c r="C5" s="309"/>
      <c r="D5" s="593" t="s">
        <v>378</v>
      </c>
    </row>
    <row r="6" spans="1:9" ht="18" customHeight="1" x14ac:dyDescent="0.3">
      <c r="A6" s="791"/>
      <c r="B6" s="245"/>
      <c r="C6" s="159"/>
      <c r="D6" s="592" t="s">
        <v>395</v>
      </c>
    </row>
    <row r="7" spans="1:9" ht="18" customHeight="1" thickBot="1" x14ac:dyDescent="0.35">
      <c r="A7" s="791"/>
      <c r="B7" s="367"/>
      <c r="C7" s="224"/>
      <c r="D7" s="594" t="s">
        <v>379</v>
      </c>
    </row>
    <row r="8" spans="1:9" ht="18" customHeight="1" thickBot="1" x14ac:dyDescent="0.35">
      <c r="A8" s="791"/>
      <c r="B8" s="498"/>
      <c r="C8" s="499"/>
      <c r="D8" s="137"/>
    </row>
    <row r="9" spans="1:9" ht="18" customHeight="1" thickBot="1" x14ac:dyDescent="0.35">
      <c r="A9" s="791"/>
      <c r="B9" s="310" t="s">
        <v>611</v>
      </c>
      <c r="C9" s="310"/>
      <c r="D9" s="311" t="s">
        <v>610</v>
      </c>
    </row>
    <row r="10" spans="1:9" ht="18" customHeight="1" thickBot="1" x14ac:dyDescent="0.35">
      <c r="A10" s="791"/>
      <c r="B10" s="310"/>
      <c r="C10" s="310"/>
      <c r="D10" s="433"/>
    </row>
    <row r="11" spans="1:9" ht="18" customHeight="1" thickBot="1" x14ac:dyDescent="0.35">
      <c r="A11" s="791"/>
      <c r="B11" s="500"/>
      <c r="C11" s="501"/>
      <c r="D11" s="502"/>
      <c r="E11" s="481"/>
      <c r="F11" s="951" t="s">
        <v>581</v>
      </c>
      <c r="G11" s="951" t="s">
        <v>585</v>
      </c>
      <c r="H11" s="946" t="s">
        <v>582</v>
      </c>
    </row>
    <row r="12" spans="1:9" ht="18" customHeight="1" x14ac:dyDescent="0.3">
      <c r="A12" s="791"/>
      <c r="B12" s="481" t="s">
        <v>380</v>
      </c>
      <c r="C12" s="954" t="s">
        <v>415</v>
      </c>
      <c r="D12" s="956" t="s">
        <v>416</v>
      </c>
      <c r="E12" s="542"/>
      <c r="F12" s="952"/>
      <c r="G12" s="952"/>
      <c r="H12" s="947"/>
    </row>
    <row r="13" spans="1:9" ht="23.25" customHeight="1" thickBot="1" x14ac:dyDescent="0.35">
      <c r="A13" s="791"/>
      <c r="B13" s="482"/>
      <c r="C13" s="955"/>
      <c r="D13" s="957"/>
      <c r="E13" s="545"/>
      <c r="F13" s="953"/>
      <c r="G13" s="953"/>
      <c r="H13" s="948"/>
    </row>
    <row r="14" spans="1:9" ht="18" customHeight="1" x14ac:dyDescent="0.3">
      <c r="A14" s="791"/>
      <c r="B14" s="482"/>
      <c r="C14" s="527" t="s">
        <v>314</v>
      </c>
      <c r="D14" s="525" t="s">
        <v>21</v>
      </c>
      <c r="E14" s="159"/>
      <c r="F14" s="385" t="s">
        <v>580</v>
      </c>
      <c r="G14" s="553" t="s">
        <v>170</v>
      </c>
      <c r="H14" s="548" t="s">
        <v>693</v>
      </c>
    </row>
    <row r="15" spans="1:9" ht="18" customHeight="1" x14ac:dyDescent="0.3">
      <c r="A15" s="791"/>
      <c r="B15" s="482"/>
      <c r="C15" s="504"/>
      <c r="D15" s="525" t="s">
        <v>22</v>
      </c>
      <c r="E15" s="159"/>
      <c r="F15" s="553" t="s">
        <v>170</v>
      </c>
      <c r="G15" s="553" t="s">
        <v>580</v>
      </c>
      <c r="H15" s="550" t="s">
        <v>624</v>
      </c>
    </row>
    <row r="16" spans="1:9" ht="18" customHeight="1" thickBot="1" x14ac:dyDescent="0.35">
      <c r="A16" s="791"/>
      <c r="B16" s="482"/>
      <c r="C16" s="507"/>
      <c r="D16" s="526" t="s">
        <v>24</v>
      </c>
      <c r="E16" s="15"/>
      <c r="F16" s="553" t="s">
        <v>170</v>
      </c>
      <c r="G16" s="553" t="s">
        <v>170</v>
      </c>
      <c r="H16" s="482" t="s">
        <v>584</v>
      </c>
    </row>
    <row r="17" spans="1:8" ht="18" customHeight="1" thickBot="1" x14ac:dyDescent="0.35">
      <c r="A17" s="791"/>
      <c r="B17" s="482"/>
      <c r="C17" s="515"/>
      <c r="D17" s="511"/>
      <c r="E17" s="500"/>
      <c r="F17" s="543"/>
      <c r="G17" s="471"/>
      <c r="H17" s="514"/>
    </row>
    <row r="18" spans="1:8" ht="18" customHeight="1" x14ac:dyDescent="0.3">
      <c r="A18" s="791"/>
      <c r="B18" s="482"/>
      <c r="C18" s="528" t="s">
        <v>375</v>
      </c>
      <c r="D18" s="509" t="s">
        <v>21</v>
      </c>
      <c r="E18" s="15"/>
      <c r="F18" s="547" t="s">
        <v>170</v>
      </c>
      <c r="G18" s="553" t="s">
        <v>170</v>
      </c>
      <c r="H18" s="548" t="s">
        <v>584</v>
      </c>
    </row>
    <row r="19" spans="1:8" ht="18" customHeight="1" x14ac:dyDescent="0.3">
      <c r="A19" s="791"/>
      <c r="B19" s="482"/>
      <c r="C19" s="504"/>
      <c r="D19" s="505" t="s">
        <v>22</v>
      </c>
      <c r="E19" s="15"/>
      <c r="F19" s="553" t="s">
        <v>170</v>
      </c>
      <c r="G19" s="551" t="s">
        <v>580</v>
      </c>
      <c r="H19" s="552" t="s">
        <v>624</v>
      </c>
    </row>
    <row r="20" spans="1:8" ht="18" customHeight="1" thickBot="1" x14ac:dyDescent="0.35">
      <c r="A20" s="791"/>
      <c r="B20" s="482"/>
      <c r="C20" s="507"/>
      <c r="D20" s="508" t="s">
        <v>24</v>
      </c>
      <c r="E20" s="15"/>
      <c r="F20" s="542" t="s">
        <v>580</v>
      </c>
      <c r="G20" s="542"/>
      <c r="H20" s="535" t="s">
        <v>28</v>
      </c>
    </row>
    <row r="21" spans="1:8" ht="18" customHeight="1" thickBot="1" x14ac:dyDescent="0.35">
      <c r="A21" s="791"/>
      <c r="B21" s="482"/>
      <c r="C21" s="515"/>
      <c r="D21" s="511"/>
      <c r="E21" s="500"/>
      <c r="F21" s="543"/>
      <c r="G21" s="471"/>
      <c r="H21" s="514"/>
    </row>
    <row r="22" spans="1:8" ht="18" customHeight="1" x14ac:dyDescent="0.3">
      <c r="A22" s="791"/>
      <c r="B22" s="482"/>
      <c r="C22" s="159" t="s">
        <v>376</v>
      </c>
      <c r="D22" s="512" t="s">
        <v>377</v>
      </c>
      <c r="E22" s="15"/>
      <c r="F22" s="547" t="s">
        <v>170</v>
      </c>
      <c r="G22" s="553" t="s">
        <v>170</v>
      </c>
      <c r="H22" s="548" t="s">
        <v>397</v>
      </c>
    </row>
    <row r="23" spans="1:8" ht="18" customHeight="1" thickBot="1" x14ac:dyDescent="0.35">
      <c r="A23" s="791"/>
      <c r="B23" s="482"/>
      <c r="C23" s="159"/>
      <c r="D23" s="513" t="s">
        <v>386</v>
      </c>
      <c r="E23" s="15"/>
      <c r="F23" s="544" t="s">
        <v>170</v>
      </c>
      <c r="G23" s="553" t="s">
        <v>170</v>
      </c>
      <c r="H23" s="535" t="s">
        <v>397</v>
      </c>
    </row>
    <row r="24" spans="1:8" ht="18" customHeight="1" thickBot="1" x14ac:dyDescent="0.35">
      <c r="A24" s="791"/>
      <c r="B24" s="482"/>
      <c r="C24" s="516"/>
      <c r="D24" s="511"/>
      <c r="E24" s="500"/>
      <c r="F24" s="543"/>
      <c r="G24" s="471"/>
      <c r="H24" s="502"/>
    </row>
    <row r="25" spans="1:8" ht="18" customHeight="1" x14ac:dyDescent="0.3">
      <c r="A25" s="791"/>
      <c r="B25" s="482"/>
      <c r="C25" s="503" t="s">
        <v>315</v>
      </c>
      <c r="D25" s="512" t="s">
        <v>317</v>
      </c>
      <c r="E25" s="15"/>
      <c r="F25" s="547" t="s">
        <v>170</v>
      </c>
      <c r="G25" s="553" t="s">
        <v>170</v>
      </c>
      <c r="H25" s="548" t="s">
        <v>397</v>
      </c>
    </row>
    <row r="26" spans="1:8" ht="18" customHeight="1" x14ac:dyDescent="0.3">
      <c r="A26" s="791"/>
      <c r="B26" s="482"/>
      <c r="C26" s="504"/>
      <c r="D26" s="506" t="s">
        <v>318</v>
      </c>
      <c r="E26" s="15"/>
      <c r="F26" s="549" t="s">
        <v>170</v>
      </c>
      <c r="G26" s="553" t="s">
        <v>170</v>
      </c>
      <c r="H26" s="550" t="s">
        <v>397</v>
      </c>
    </row>
    <row r="27" spans="1:8" ht="18" customHeight="1" x14ac:dyDescent="0.3">
      <c r="A27" s="791"/>
      <c r="B27" s="482"/>
      <c r="C27" s="504"/>
      <c r="D27" s="506" t="s">
        <v>381</v>
      </c>
      <c r="E27" s="15"/>
      <c r="F27" s="549" t="s">
        <v>170</v>
      </c>
      <c r="G27" s="553" t="s">
        <v>170</v>
      </c>
      <c r="H27" s="550" t="s">
        <v>397</v>
      </c>
    </row>
    <row r="28" spans="1:8" ht="18" customHeight="1" x14ac:dyDescent="0.3">
      <c r="A28" s="791"/>
      <c r="B28" s="482"/>
      <c r="C28" s="504"/>
      <c r="D28" s="506" t="s">
        <v>382</v>
      </c>
      <c r="E28" s="15"/>
      <c r="F28" s="549" t="s">
        <v>170</v>
      </c>
      <c r="G28" s="553" t="s">
        <v>170</v>
      </c>
      <c r="H28" s="550" t="s">
        <v>397</v>
      </c>
    </row>
    <row r="29" spans="1:8" ht="18" customHeight="1" thickBot="1" x14ac:dyDescent="0.35">
      <c r="A29" s="791"/>
      <c r="B29" s="482"/>
      <c r="C29" s="507"/>
      <c r="D29" s="508" t="s">
        <v>398</v>
      </c>
      <c r="E29" s="15"/>
      <c r="F29" s="542" t="s">
        <v>580</v>
      </c>
      <c r="G29" s="553" t="s">
        <v>170</v>
      </c>
      <c r="H29" s="535" t="s">
        <v>28</v>
      </c>
    </row>
    <row r="30" spans="1:8" ht="18" customHeight="1" thickBot="1" x14ac:dyDescent="0.35">
      <c r="A30" s="791"/>
      <c r="B30" s="482"/>
      <c r="C30" s="522"/>
      <c r="D30" s="523"/>
      <c r="E30" s="500"/>
      <c r="F30" s="541"/>
      <c r="G30" s="510"/>
      <c r="H30" s="502"/>
    </row>
    <row r="31" spans="1:8" ht="18" customHeight="1" thickBot="1" x14ac:dyDescent="0.35">
      <c r="A31" s="791"/>
      <c r="B31" s="482"/>
      <c r="C31" s="529" t="s">
        <v>316</v>
      </c>
      <c r="D31" s="524"/>
      <c r="F31" s="482"/>
      <c r="G31" s="482"/>
      <c r="H31" s="546" t="s">
        <v>397</v>
      </c>
    </row>
    <row r="32" spans="1:8" ht="18" customHeight="1" thickBot="1" x14ac:dyDescent="0.35">
      <c r="A32" s="791"/>
      <c r="B32" s="517"/>
      <c r="C32" s="515"/>
      <c r="D32" s="502"/>
      <c r="E32" s="510"/>
      <c r="F32" s="541"/>
      <c r="G32" s="510"/>
      <c r="H32" s="502"/>
    </row>
    <row r="33" spans="1:8" ht="18" customHeight="1" x14ac:dyDescent="0.3">
      <c r="A33" s="791"/>
      <c r="B33" s="518" t="s">
        <v>383</v>
      </c>
      <c r="C33" s="495" t="s">
        <v>384</v>
      </c>
      <c r="D33" s="521" t="s">
        <v>385</v>
      </c>
      <c r="E33" s="15"/>
      <c r="F33" s="547" t="s">
        <v>170</v>
      </c>
      <c r="G33" s="547"/>
      <c r="H33" s="548" t="s">
        <v>397</v>
      </c>
    </row>
    <row r="34" spans="1:8" ht="18" customHeight="1" thickBot="1" x14ac:dyDescent="0.35">
      <c r="A34" s="791"/>
      <c r="B34" s="519"/>
      <c r="C34" s="530"/>
      <c r="D34" s="520" t="s">
        <v>396</v>
      </c>
      <c r="E34" s="15"/>
      <c r="F34" s="544" t="s">
        <v>170</v>
      </c>
      <c r="G34" s="544"/>
      <c r="H34" s="535" t="s">
        <v>397</v>
      </c>
    </row>
    <row r="35" spans="1:8" ht="18" customHeight="1" thickBot="1" x14ac:dyDescent="0.35">
      <c r="A35" s="791"/>
      <c r="B35" s="519"/>
      <c r="C35" s="501"/>
      <c r="D35" s="514"/>
      <c r="E35" s="500"/>
      <c r="F35" s="541"/>
      <c r="G35" s="510"/>
      <c r="H35" s="502"/>
    </row>
    <row r="36" spans="1:8" ht="18" customHeight="1" x14ac:dyDescent="0.3">
      <c r="A36" s="791"/>
      <c r="B36" s="519"/>
      <c r="C36" s="495" t="s">
        <v>376</v>
      </c>
      <c r="D36" s="521" t="s">
        <v>377</v>
      </c>
      <c r="E36" s="15"/>
      <c r="F36" s="547" t="s">
        <v>170</v>
      </c>
      <c r="G36" s="547"/>
      <c r="H36" s="548" t="s">
        <v>397</v>
      </c>
    </row>
    <row r="37" spans="1:8" ht="18" customHeight="1" thickBot="1" x14ac:dyDescent="0.35">
      <c r="A37" s="791"/>
      <c r="B37" s="519"/>
      <c r="C37" s="530"/>
      <c r="D37" s="520" t="s">
        <v>386</v>
      </c>
      <c r="E37" s="15"/>
      <c r="F37" s="544" t="s">
        <v>170</v>
      </c>
      <c r="G37" s="544"/>
      <c r="H37" s="535" t="s">
        <v>397</v>
      </c>
    </row>
    <row r="38" spans="1:8" ht="18" customHeight="1" thickBot="1" x14ac:dyDescent="0.35">
      <c r="A38" s="791"/>
      <c r="B38" s="517"/>
      <c r="C38" s="501"/>
      <c r="D38" s="514"/>
      <c r="E38" s="500"/>
      <c r="F38" s="541"/>
      <c r="G38" s="510"/>
      <c r="H38" s="502"/>
    </row>
    <row r="39" spans="1:8" ht="18" customHeight="1" x14ac:dyDescent="0.3">
      <c r="A39" s="791"/>
      <c r="B39" s="504" t="s">
        <v>319</v>
      </c>
      <c r="C39" s="554" t="s">
        <v>218</v>
      </c>
      <c r="D39" s="154"/>
      <c r="E39" s="41"/>
      <c r="F39" s="555" t="s">
        <v>580</v>
      </c>
      <c r="G39" s="555"/>
      <c r="H39" s="548" t="s">
        <v>583</v>
      </c>
    </row>
    <row r="40" spans="1:8" ht="18" customHeight="1" x14ac:dyDescent="0.3">
      <c r="A40" s="791"/>
      <c r="B40" s="504"/>
      <c r="C40" s="958" t="s">
        <v>387</v>
      </c>
      <c r="D40" s="53"/>
      <c r="E40" s="19"/>
      <c r="F40" s="949" t="s">
        <v>170</v>
      </c>
      <c r="G40" s="556"/>
      <c r="H40" s="558"/>
    </row>
    <row r="41" spans="1:8" ht="18" customHeight="1" x14ac:dyDescent="0.3">
      <c r="A41" s="791"/>
      <c r="B41" s="504"/>
      <c r="C41" s="959"/>
      <c r="D41" s="47"/>
      <c r="E41" s="19"/>
      <c r="F41" s="950"/>
      <c r="G41" s="557"/>
      <c r="H41" s="550"/>
    </row>
    <row r="42" spans="1:8" ht="18" customHeight="1" thickBot="1" x14ac:dyDescent="0.35">
      <c r="A42" s="792"/>
      <c r="B42" s="507"/>
      <c r="C42" s="50" t="s">
        <v>320</v>
      </c>
      <c r="D42" s="24"/>
      <c r="E42" s="22"/>
      <c r="F42" s="559" t="s">
        <v>170</v>
      </c>
      <c r="G42" s="559"/>
      <c r="H42" s="535"/>
    </row>
    <row r="43" spans="1:8" ht="18" customHeight="1" x14ac:dyDescent="0.3">
      <c r="B43" s="937" t="s">
        <v>391</v>
      </c>
      <c r="C43" s="15"/>
    </row>
    <row r="44" spans="1:8" ht="18" customHeight="1" x14ac:dyDescent="0.3">
      <c r="B44" s="937"/>
    </row>
    <row r="45" spans="1:8" ht="18" customHeight="1" x14ac:dyDescent="0.3">
      <c r="C45" t="s">
        <v>324</v>
      </c>
      <c r="D45" s="15"/>
      <c r="E45" s="15"/>
    </row>
    <row r="46" spans="1:8" ht="18" customHeight="1" x14ac:dyDescent="0.3">
      <c r="C46" t="s">
        <v>388</v>
      </c>
      <c r="D46" s="15" t="s">
        <v>389</v>
      </c>
      <c r="E46" s="15"/>
    </row>
    <row r="47" spans="1:8" ht="18" customHeight="1" x14ac:dyDescent="0.3">
      <c r="D47" s="15"/>
      <c r="E47" s="15"/>
      <c r="F47" s="247"/>
      <c r="G47" s="247"/>
      <c r="H47" s="247"/>
    </row>
    <row r="48" spans="1:8" x14ac:dyDescent="0.3">
      <c r="C48" t="s">
        <v>321</v>
      </c>
      <c r="D48" s="15" t="s">
        <v>390</v>
      </c>
      <c r="E48" s="15"/>
      <c r="F48" s="247"/>
      <c r="G48" s="247"/>
      <c r="H48" s="247"/>
    </row>
    <row r="49" spans="3:8" ht="15" customHeight="1" x14ac:dyDescent="0.3">
      <c r="D49" s="15"/>
      <c r="E49" s="15"/>
      <c r="F49" s="247"/>
      <c r="G49" s="247"/>
      <c r="H49" s="247"/>
    </row>
    <row r="50" spans="3:8" x14ac:dyDescent="0.3">
      <c r="C50" t="s">
        <v>322</v>
      </c>
      <c r="D50" s="15" t="s">
        <v>390</v>
      </c>
      <c r="E50" s="15"/>
      <c r="F50" s="247"/>
      <c r="G50" s="247"/>
      <c r="H50" s="247"/>
    </row>
    <row r="51" spans="3:8" x14ac:dyDescent="0.3">
      <c r="D51" s="15"/>
      <c r="E51" s="15"/>
    </row>
    <row r="52" spans="3:8" x14ac:dyDescent="0.3">
      <c r="C52" t="s">
        <v>392</v>
      </c>
    </row>
    <row r="54" spans="3:8" x14ac:dyDescent="0.3">
      <c r="C54" t="s">
        <v>393</v>
      </c>
    </row>
    <row r="55" spans="3:8" x14ac:dyDescent="0.3">
      <c r="C55" t="s">
        <v>394</v>
      </c>
      <c r="D55" s="15"/>
      <c r="E55" s="15"/>
    </row>
    <row r="56" spans="3:8" x14ac:dyDescent="0.3">
      <c r="C56" s="15"/>
    </row>
    <row r="57" spans="3:8" x14ac:dyDescent="0.3">
      <c r="C57" s="15"/>
    </row>
  </sheetData>
  <mergeCells count="9">
    <mergeCell ref="H11:H13"/>
    <mergeCell ref="F40:F41"/>
    <mergeCell ref="G11:G13"/>
    <mergeCell ref="A5:A42"/>
    <mergeCell ref="B43:B44"/>
    <mergeCell ref="C12:C13"/>
    <mergeCell ref="D12:D13"/>
    <mergeCell ref="C40:C41"/>
    <mergeCell ref="F11:F1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DD2D-2099-41DE-8960-3C2478E24EF9}">
  <dimension ref="B2:X135"/>
  <sheetViews>
    <sheetView topLeftCell="A40" zoomScaleNormal="100" workbookViewId="0"/>
  </sheetViews>
  <sheetFormatPr baseColWidth="10" defaultRowHeight="14.4" x14ac:dyDescent="0.3"/>
  <cols>
    <col min="2" max="2" width="12.109375" customWidth="1"/>
    <col min="3" max="3" width="2.109375" customWidth="1"/>
    <col min="4" max="4" width="17" customWidth="1"/>
    <col min="5" max="5" width="2.109375" customWidth="1"/>
    <col min="6" max="6" width="15.5546875" customWidth="1"/>
    <col min="7" max="7" width="2" customWidth="1"/>
    <col min="9" max="9" width="1.88671875" customWidth="1"/>
    <col min="11" max="11" width="2" customWidth="1"/>
    <col min="13" max="13" width="3.5546875" customWidth="1"/>
    <col min="15" max="15" width="3.44140625" customWidth="1"/>
    <col min="16" max="16" width="13.44140625" customWidth="1"/>
  </cols>
  <sheetData>
    <row r="2" spans="2:14" x14ac:dyDescent="0.3">
      <c r="B2" s="964" t="s">
        <v>518</v>
      </c>
      <c r="C2" s="965"/>
      <c r="D2" s="965"/>
      <c r="E2" s="965"/>
      <c r="F2" s="966"/>
    </row>
    <row r="3" spans="2:14" ht="15.6" x14ac:dyDescent="0.35">
      <c r="B3" s="120" t="s">
        <v>479</v>
      </c>
      <c r="C3" s="962" t="s">
        <v>235</v>
      </c>
      <c r="D3" s="120" t="s">
        <v>480</v>
      </c>
      <c r="E3" s="962" t="s">
        <v>226</v>
      </c>
      <c r="F3" s="120" t="s">
        <v>625</v>
      </c>
      <c r="N3" t="s">
        <v>474</v>
      </c>
    </row>
    <row r="4" spans="2:14" x14ac:dyDescent="0.3">
      <c r="B4" s="321" t="s">
        <v>62</v>
      </c>
      <c r="C4" s="963"/>
      <c r="D4" s="321" t="s">
        <v>54</v>
      </c>
      <c r="E4" s="963"/>
      <c r="F4" s="321" t="s">
        <v>230</v>
      </c>
    </row>
    <row r="5" spans="2:14" ht="33" customHeight="1" x14ac:dyDescent="0.3">
      <c r="B5" s="119">
        <f>D5*F5</f>
        <v>454.3</v>
      </c>
      <c r="C5" s="447" t="s">
        <v>235</v>
      </c>
      <c r="D5" s="35">
        <v>77</v>
      </c>
      <c r="E5" s="447" t="s">
        <v>226</v>
      </c>
      <c r="F5" s="322">
        <v>5.9</v>
      </c>
    </row>
    <row r="7" spans="2:14" x14ac:dyDescent="0.3">
      <c r="B7" s="964" t="s">
        <v>519</v>
      </c>
      <c r="C7" s="965"/>
      <c r="D7" s="965"/>
      <c r="E7" s="965"/>
      <c r="F7" s="966"/>
    </row>
    <row r="8" spans="2:14" ht="15" customHeight="1" x14ac:dyDescent="0.35">
      <c r="B8" s="120" t="s">
        <v>481</v>
      </c>
      <c r="C8" s="962" t="s">
        <v>235</v>
      </c>
      <c r="D8" s="120">
        <v>0.76</v>
      </c>
      <c r="E8" s="962" t="s">
        <v>226</v>
      </c>
      <c r="F8" s="120" t="s">
        <v>479</v>
      </c>
      <c r="N8" t="s">
        <v>478</v>
      </c>
    </row>
    <row r="9" spans="2:14" x14ac:dyDescent="0.3">
      <c r="B9" s="321" t="s">
        <v>62</v>
      </c>
      <c r="C9" s="963"/>
      <c r="D9" s="321" t="s">
        <v>482</v>
      </c>
      <c r="E9" s="963"/>
      <c r="F9" s="321" t="s">
        <v>62</v>
      </c>
    </row>
    <row r="10" spans="2:14" ht="33.75" customHeight="1" x14ac:dyDescent="0.3">
      <c r="B10" s="119">
        <f>D10*F10</f>
        <v>345.26800000000003</v>
      </c>
      <c r="C10" s="447" t="s">
        <v>235</v>
      </c>
      <c r="D10" s="35">
        <v>0.76</v>
      </c>
      <c r="E10" s="447" t="s">
        <v>226</v>
      </c>
      <c r="F10" s="322">
        <f>B5</f>
        <v>454.3</v>
      </c>
    </row>
    <row r="12" spans="2:14" x14ac:dyDescent="0.3">
      <c r="B12" s="982" t="s">
        <v>515</v>
      </c>
      <c r="C12" s="982"/>
      <c r="D12" s="982"/>
      <c r="E12" s="982"/>
      <c r="F12" s="982"/>
    </row>
    <row r="13" spans="2:14" ht="15" customHeight="1" x14ac:dyDescent="0.35">
      <c r="B13" s="120" t="s">
        <v>483</v>
      </c>
      <c r="C13" s="962" t="s">
        <v>235</v>
      </c>
      <c r="D13" s="120">
        <v>0.32</v>
      </c>
      <c r="E13" s="962" t="s">
        <v>226</v>
      </c>
      <c r="F13" s="120" t="s">
        <v>479</v>
      </c>
      <c r="N13" t="s">
        <v>473</v>
      </c>
    </row>
    <row r="14" spans="2:14" x14ac:dyDescent="0.3">
      <c r="B14" s="321" t="s">
        <v>54</v>
      </c>
      <c r="C14" s="963"/>
      <c r="D14" s="321" t="s">
        <v>482</v>
      </c>
      <c r="E14" s="963"/>
      <c r="F14" s="321" t="s">
        <v>62</v>
      </c>
    </row>
    <row r="15" spans="2:14" ht="30.75" customHeight="1" x14ac:dyDescent="0.3">
      <c r="B15" s="398">
        <f>D15*F15</f>
        <v>145.376</v>
      </c>
      <c r="C15" s="447" t="s">
        <v>235</v>
      </c>
      <c r="D15" s="35">
        <v>0.32</v>
      </c>
      <c r="E15" s="447" t="s">
        <v>226</v>
      </c>
      <c r="F15" s="322">
        <f>F10</f>
        <v>454.3</v>
      </c>
    </row>
    <row r="16" spans="2:14" x14ac:dyDescent="0.3">
      <c r="B16" s="14"/>
      <c r="C16" s="198"/>
      <c r="D16" s="14"/>
      <c r="E16" s="198"/>
      <c r="F16" s="14"/>
    </row>
    <row r="17" spans="2:14" s="26" customFormat="1" x14ac:dyDescent="0.3">
      <c r="B17" s="967" t="s">
        <v>516</v>
      </c>
      <c r="C17" s="968"/>
      <c r="D17" s="968"/>
      <c r="E17" s="968"/>
      <c r="F17" s="969"/>
    </row>
    <row r="18" spans="2:14" s="26" customFormat="1" ht="16.5" customHeight="1" x14ac:dyDescent="0.35">
      <c r="B18" s="483" t="s">
        <v>484</v>
      </c>
      <c r="C18" s="960" t="s">
        <v>235</v>
      </c>
      <c r="D18" s="483" t="s">
        <v>485</v>
      </c>
      <c r="E18" s="960" t="s">
        <v>226</v>
      </c>
      <c r="F18" s="483" t="s">
        <v>483</v>
      </c>
      <c r="N18" s="26" t="s">
        <v>475</v>
      </c>
    </row>
    <row r="19" spans="2:14" s="26" customFormat="1" x14ac:dyDescent="0.3">
      <c r="B19" s="485" t="s">
        <v>54</v>
      </c>
      <c r="C19" s="961"/>
      <c r="D19" s="485" t="s">
        <v>482</v>
      </c>
      <c r="E19" s="961"/>
      <c r="F19" s="485" t="s">
        <v>54</v>
      </c>
      <c r="N19" s="26" t="s">
        <v>486</v>
      </c>
    </row>
    <row r="20" spans="2:14" s="26" customFormat="1" ht="30.75" customHeight="1" x14ac:dyDescent="0.3">
      <c r="B20" s="496">
        <f>D20*F20</f>
        <v>118.45451851851853</v>
      </c>
      <c r="C20" s="489" t="s">
        <v>235</v>
      </c>
      <c r="D20" s="497">
        <f>1.1/1.35</f>
        <v>0.81481481481481488</v>
      </c>
      <c r="E20" s="489" t="s">
        <v>226</v>
      </c>
      <c r="F20" s="492">
        <f>B15</f>
        <v>145.376</v>
      </c>
    </row>
    <row r="22" spans="2:14" x14ac:dyDescent="0.3">
      <c r="B22" s="964" t="s">
        <v>517</v>
      </c>
      <c r="C22" s="965"/>
      <c r="D22" s="965"/>
      <c r="E22" s="965"/>
      <c r="F22" s="966"/>
    </row>
    <row r="23" spans="2:14" ht="15.6" x14ac:dyDescent="0.35">
      <c r="B23" s="120" t="s">
        <v>484</v>
      </c>
      <c r="C23" s="962" t="s">
        <v>235</v>
      </c>
      <c r="D23" s="120" t="s">
        <v>487</v>
      </c>
      <c r="E23" s="962" t="s">
        <v>226</v>
      </c>
      <c r="F23" s="120" t="s">
        <v>483</v>
      </c>
      <c r="N23" t="s">
        <v>476</v>
      </c>
    </row>
    <row r="24" spans="2:14" x14ac:dyDescent="0.3">
      <c r="B24" s="321" t="s">
        <v>54</v>
      </c>
      <c r="C24" s="963"/>
      <c r="D24" s="321" t="s">
        <v>482</v>
      </c>
      <c r="E24" s="963"/>
      <c r="F24" s="321" t="s">
        <v>54</v>
      </c>
      <c r="N24" t="s">
        <v>486</v>
      </c>
    </row>
    <row r="25" spans="2:14" ht="30.75" customHeight="1" x14ac:dyDescent="0.3">
      <c r="B25" s="452">
        <f>D25*F25</f>
        <v>133.26133333333334</v>
      </c>
      <c r="C25" s="447" t="s">
        <v>235</v>
      </c>
      <c r="D25" s="382">
        <f>1.1/1.2</f>
        <v>0.91666666666666674</v>
      </c>
      <c r="E25" s="447" t="s">
        <v>226</v>
      </c>
      <c r="F25" s="322">
        <f>B15</f>
        <v>145.376</v>
      </c>
    </row>
    <row r="27" spans="2:14" s="26" customFormat="1" x14ac:dyDescent="0.3">
      <c r="B27" s="967" t="s">
        <v>520</v>
      </c>
      <c r="C27" s="968"/>
      <c r="D27" s="968"/>
      <c r="E27" s="968"/>
      <c r="F27" s="969"/>
    </row>
    <row r="28" spans="2:14" s="26" customFormat="1" ht="15.6" x14ac:dyDescent="0.35">
      <c r="B28" s="483" t="s">
        <v>484</v>
      </c>
      <c r="C28" s="960" t="s">
        <v>235</v>
      </c>
      <c r="D28" s="483">
        <v>1.1000000000000001</v>
      </c>
      <c r="E28" s="960" t="s">
        <v>226</v>
      </c>
      <c r="F28" s="483" t="s">
        <v>488</v>
      </c>
      <c r="N28" s="26" t="s">
        <v>477</v>
      </c>
    </row>
    <row r="29" spans="2:14" s="26" customFormat="1" x14ac:dyDescent="0.3">
      <c r="B29" s="485" t="s">
        <v>54</v>
      </c>
      <c r="C29" s="961"/>
      <c r="D29" s="485" t="s">
        <v>482</v>
      </c>
      <c r="E29" s="961"/>
      <c r="F29" s="485" t="s">
        <v>54</v>
      </c>
    </row>
    <row r="30" spans="2:14" s="26" customFormat="1" ht="30.75" customHeight="1" x14ac:dyDescent="0.3">
      <c r="B30" s="496">
        <f>D30*F30</f>
        <v>154</v>
      </c>
      <c r="C30" s="489" t="s">
        <v>235</v>
      </c>
      <c r="D30" s="497">
        <v>1.1000000000000001</v>
      </c>
      <c r="E30" s="489" t="s">
        <v>226</v>
      </c>
      <c r="F30" s="492">
        <v>140</v>
      </c>
    </row>
    <row r="32" spans="2:14" ht="31.5" customHeight="1" x14ac:dyDescent="0.3">
      <c r="B32" s="979" t="s">
        <v>531</v>
      </c>
      <c r="C32" s="980"/>
      <c r="D32" s="980"/>
      <c r="E32" s="980"/>
      <c r="F32" s="980"/>
      <c r="G32" s="980"/>
      <c r="H32" s="981"/>
    </row>
    <row r="33" spans="2:18" ht="15.6" x14ac:dyDescent="0.35">
      <c r="B33" s="120" t="s">
        <v>494</v>
      </c>
      <c r="C33" s="962" t="s">
        <v>235</v>
      </c>
      <c r="D33" s="120" t="s">
        <v>490</v>
      </c>
      <c r="E33" s="962" t="s">
        <v>226</v>
      </c>
      <c r="F33" s="120">
        <v>0.34</v>
      </c>
      <c r="G33" s="962" t="s">
        <v>226</v>
      </c>
      <c r="H33" s="120" t="s">
        <v>481</v>
      </c>
      <c r="N33" t="s">
        <v>489</v>
      </c>
    </row>
    <row r="34" spans="2:18" ht="16.2" x14ac:dyDescent="0.35">
      <c r="B34" s="321" t="s">
        <v>491</v>
      </c>
      <c r="C34" s="963"/>
      <c r="D34" s="321" t="s">
        <v>492</v>
      </c>
      <c r="E34" s="963"/>
      <c r="F34" s="321" t="s">
        <v>563</v>
      </c>
      <c r="G34" s="963"/>
      <c r="H34" s="321" t="s">
        <v>62</v>
      </c>
      <c r="N34" t="s">
        <v>565</v>
      </c>
    </row>
    <row r="35" spans="2:18" ht="30.75" customHeight="1" x14ac:dyDescent="0.35">
      <c r="B35" s="398">
        <f>D35*F35*H35</f>
        <v>92.738984800000011</v>
      </c>
      <c r="C35" s="447" t="s">
        <v>235</v>
      </c>
      <c r="D35" s="35">
        <v>0.79</v>
      </c>
      <c r="E35" s="447" t="s">
        <v>226</v>
      </c>
      <c r="F35" s="35">
        <v>0.34</v>
      </c>
      <c r="G35" s="447" t="s">
        <v>226</v>
      </c>
      <c r="H35" s="322">
        <f>B10</f>
        <v>345.26800000000003</v>
      </c>
      <c r="N35" t="s">
        <v>493</v>
      </c>
    </row>
    <row r="36" spans="2:18" x14ac:dyDescent="0.3">
      <c r="B36" s="199"/>
      <c r="C36" s="198"/>
      <c r="D36" s="14"/>
      <c r="E36" s="198"/>
      <c r="F36" s="14"/>
      <c r="G36" s="198"/>
      <c r="H36" s="14"/>
    </row>
    <row r="37" spans="2:18" x14ac:dyDescent="0.3">
      <c r="B37" s="964" t="s">
        <v>537</v>
      </c>
      <c r="C37" s="965"/>
      <c r="D37" s="965"/>
      <c r="E37" s="965"/>
      <c r="F37" s="966"/>
    </row>
    <row r="38" spans="2:18" ht="15.6" x14ac:dyDescent="0.35">
      <c r="B38" s="249" t="s">
        <v>538</v>
      </c>
      <c r="C38" s="962" t="s">
        <v>235</v>
      </c>
      <c r="D38" s="120" t="s">
        <v>494</v>
      </c>
      <c r="E38" s="962" t="s">
        <v>233</v>
      </c>
      <c r="F38" s="278" t="s">
        <v>238</v>
      </c>
      <c r="N38" t="s">
        <v>539</v>
      </c>
    </row>
    <row r="39" spans="2:18" ht="15.6" x14ac:dyDescent="0.35">
      <c r="B39" s="326" t="s">
        <v>491</v>
      </c>
      <c r="C39" s="963"/>
      <c r="D39" s="321" t="s">
        <v>491</v>
      </c>
      <c r="E39" s="853"/>
      <c r="F39" s="280" t="s">
        <v>491</v>
      </c>
      <c r="N39" t="s">
        <v>540</v>
      </c>
    </row>
    <row r="40" spans="2:18" ht="29.25" customHeight="1" x14ac:dyDescent="0.3">
      <c r="B40" s="398">
        <f>D40+F40</f>
        <v>610.73898480000003</v>
      </c>
      <c r="C40" s="447" t="s">
        <v>235</v>
      </c>
      <c r="D40" s="403">
        <f>B35</f>
        <v>92.738984800000011</v>
      </c>
      <c r="E40" s="447" t="s">
        <v>233</v>
      </c>
      <c r="F40" s="322">
        <f>ROUND(Grobkonzept!U74,0)</f>
        <v>518</v>
      </c>
    </row>
    <row r="41" spans="2:18" hidden="1" x14ac:dyDescent="0.3"/>
    <row r="42" spans="2:18" s="26" customFormat="1" hidden="1" x14ac:dyDescent="0.3">
      <c r="B42" s="967" t="s">
        <v>521</v>
      </c>
      <c r="C42" s="968"/>
      <c r="D42" s="968"/>
      <c r="E42" s="968"/>
      <c r="F42" s="968"/>
      <c r="G42" s="968"/>
      <c r="H42" s="968"/>
      <c r="I42" s="968"/>
      <c r="J42" s="968"/>
      <c r="K42" s="968"/>
      <c r="L42" s="969"/>
    </row>
    <row r="43" spans="2:18" s="26" customFormat="1" ht="15.6" hidden="1" x14ac:dyDescent="0.35">
      <c r="B43" s="483" t="s">
        <v>496</v>
      </c>
      <c r="C43" s="960" t="s">
        <v>235</v>
      </c>
      <c r="D43" s="483" t="s">
        <v>494</v>
      </c>
      <c r="E43" s="960" t="s">
        <v>226</v>
      </c>
      <c r="F43" s="483" t="s">
        <v>498</v>
      </c>
      <c r="G43" s="960" t="s">
        <v>170</v>
      </c>
      <c r="H43" s="483" t="s">
        <v>499</v>
      </c>
      <c r="I43" s="960" t="s">
        <v>226</v>
      </c>
      <c r="J43" s="483">
        <v>1E-3</v>
      </c>
      <c r="K43" s="960" t="s">
        <v>226</v>
      </c>
      <c r="L43" s="483" t="s">
        <v>503</v>
      </c>
      <c r="N43" s="26" t="s">
        <v>495</v>
      </c>
      <c r="Q43" s="26" t="s">
        <v>505</v>
      </c>
    </row>
    <row r="44" spans="2:18" s="26" customFormat="1" ht="15.6" hidden="1" x14ac:dyDescent="0.35">
      <c r="B44" s="485" t="s">
        <v>497</v>
      </c>
      <c r="C44" s="961"/>
      <c r="D44" s="485" t="s">
        <v>491</v>
      </c>
      <c r="E44" s="961"/>
      <c r="F44" s="485" t="s">
        <v>507</v>
      </c>
      <c r="G44" s="961"/>
      <c r="H44" s="485" t="s">
        <v>507</v>
      </c>
      <c r="I44" s="961"/>
      <c r="J44" s="485" t="s">
        <v>508</v>
      </c>
      <c r="K44" s="961"/>
      <c r="L44" s="485" t="s">
        <v>506</v>
      </c>
      <c r="N44" s="26" t="s">
        <v>504</v>
      </c>
      <c r="R44" s="26" t="s">
        <v>509</v>
      </c>
    </row>
    <row r="45" spans="2:18" s="26" customFormat="1" ht="15.6" hidden="1" x14ac:dyDescent="0.3">
      <c r="B45" s="483" t="s">
        <v>551</v>
      </c>
      <c r="C45" s="484" t="s">
        <v>235</v>
      </c>
      <c r="D45" s="483" t="s">
        <v>535</v>
      </c>
      <c r="E45" s="484" t="s">
        <v>226</v>
      </c>
      <c r="F45" s="983" t="s">
        <v>547</v>
      </c>
      <c r="G45" s="973"/>
      <c r="H45" s="974"/>
      <c r="I45" s="484" t="s">
        <v>226</v>
      </c>
      <c r="J45" s="973" t="s">
        <v>548</v>
      </c>
      <c r="K45" s="973"/>
      <c r="L45" s="974"/>
      <c r="M45" s="486" t="s">
        <v>550</v>
      </c>
      <c r="N45" s="487" t="s">
        <v>549</v>
      </c>
    </row>
    <row r="46" spans="2:18" s="26" customFormat="1" ht="15" hidden="1" customHeight="1" x14ac:dyDescent="0.3">
      <c r="B46" s="488">
        <f>D46*F46*J46</f>
        <v>8070.5174132352013</v>
      </c>
      <c r="C46" s="489" t="s">
        <v>235</v>
      </c>
      <c r="D46" s="490">
        <f>B35</f>
        <v>92.738984800000011</v>
      </c>
      <c r="E46" s="489" t="s">
        <v>226</v>
      </c>
      <c r="F46" s="977">
        <v>3626</v>
      </c>
      <c r="G46" s="977"/>
      <c r="H46" s="977"/>
      <c r="I46" s="489" t="s">
        <v>226</v>
      </c>
      <c r="J46" s="977">
        <v>2.4E-2</v>
      </c>
      <c r="K46" s="977"/>
      <c r="L46" s="978"/>
    </row>
    <row r="47" spans="2:18" hidden="1" x14ac:dyDescent="0.3"/>
    <row r="48" spans="2:18" s="26" customFormat="1" hidden="1" x14ac:dyDescent="0.3">
      <c r="B48" s="967" t="s">
        <v>552</v>
      </c>
      <c r="C48" s="968"/>
      <c r="D48" s="968"/>
      <c r="E48" s="968"/>
      <c r="F48" s="968"/>
      <c r="G48" s="968"/>
      <c r="H48" s="969"/>
    </row>
    <row r="49" spans="2:14" s="26" customFormat="1" ht="15.6" hidden="1" x14ac:dyDescent="0.3">
      <c r="B49" s="483" t="s">
        <v>500</v>
      </c>
      <c r="C49" s="960" t="s">
        <v>235</v>
      </c>
      <c r="D49" s="483" t="s">
        <v>501</v>
      </c>
      <c r="E49" s="960" t="s">
        <v>226</v>
      </c>
      <c r="F49" s="483" t="s">
        <v>484</v>
      </c>
      <c r="G49" s="960" t="s">
        <v>226</v>
      </c>
      <c r="H49" s="483">
        <v>1E-3</v>
      </c>
      <c r="N49" s="26" t="s">
        <v>510</v>
      </c>
    </row>
    <row r="50" spans="2:14" s="26" customFormat="1" hidden="1" x14ac:dyDescent="0.3">
      <c r="B50" s="485" t="s">
        <v>502</v>
      </c>
      <c r="C50" s="961"/>
      <c r="D50" s="485" t="s">
        <v>558</v>
      </c>
      <c r="E50" s="961"/>
      <c r="F50" s="485" t="s">
        <v>54</v>
      </c>
      <c r="G50" s="961"/>
      <c r="H50" s="485" t="s">
        <v>508</v>
      </c>
    </row>
    <row r="51" spans="2:14" s="26" customFormat="1" ht="15" hidden="1" customHeight="1" x14ac:dyDescent="0.3">
      <c r="B51" s="493">
        <f>D51*F51*H51</f>
        <v>13.86</v>
      </c>
      <c r="C51" s="489" t="s">
        <v>235</v>
      </c>
      <c r="D51" s="491">
        <v>90</v>
      </c>
      <c r="E51" s="489" t="s">
        <v>226</v>
      </c>
      <c r="F51" s="494">
        <f>B30</f>
        <v>154</v>
      </c>
      <c r="G51" s="489" t="s">
        <v>226</v>
      </c>
      <c r="H51" s="492">
        <v>1E-3</v>
      </c>
    </row>
    <row r="53" spans="2:14" s="449" customFormat="1" hidden="1" x14ac:dyDescent="0.3">
      <c r="B53" s="970" t="s">
        <v>522</v>
      </c>
      <c r="C53" s="971"/>
      <c r="D53" s="971"/>
      <c r="E53" s="971"/>
      <c r="F53" s="972"/>
    </row>
    <row r="54" spans="2:14" s="449" customFormat="1" ht="15.6" hidden="1" x14ac:dyDescent="0.35">
      <c r="B54" s="448" t="s">
        <v>512</v>
      </c>
      <c r="C54" s="975" t="s">
        <v>235</v>
      </c>
      <c r="D54" s="448">
        <v>90</v>
      </c>
      <c r="E54" s="975" t="s">
        <v>226</v>
      </c>
      <c r="F54" s="448" t="s">
        <v>484</v>
      </c>
      <c r="N54" s="449" t="s">
        <v>514</v>
      </c>
    </row>
    <row r="55" spans="2:14" s="449" customFormat="1" hidden="1" x14ac:dyDescent="0.3">
      <c r="B55" s="450" t="s">
        <v>523</v>
      </c>
      <c r="C55" s="976"/>
      <c r="D55" s="450" t="s">
        <v>513</v>
      </c>
      <c r="E55" s="976"/>
      <c r="F55" s="450" t="s">
        <v>54</v>
      </c>
      <c r="N55" s="449" t="s">
        <v>511</v>
      </c>
    </row>
    <row r="56" spans="2:14" s="449" customFormat="1" ht="15" hidden="1" customHeight="1" x14ac:dyDescent="0.3">
      <c r="B56" s="456">
        <f>D56*F56</f>
        <v>13860</v>
      </c>
      <c r="C56" s="451" t="s">
        <v>235</v>
      </c>
      <c r="D56" s="457">
        <v>90</v>
      </c>
      <c r="E56" s="451" t="s">
        <v>226</v>
      </c>
      <c r="F56" s="458">
        <f>B30</f>
        <v>154</v>
      </c>
    </row>
    <row r="57" spans="2:14" hidden="1" x14ac:dyDescent="0.3"/>
    <row r="58" spans="2:14" x14ac:dyDescent="0.3">
      <c r="B58" s="964" t="s">
        <v>524</v>
      </c>
      <c r="C58" s="965"/>
      <c r="D58" s="965"/>
      <c r="E58" s="965"/>
      <c r="F58" s="965"/>
      <c r="G58" s="965"/>
      <c r="H58" s="966"/>
    </row>
    <row r="59" spans="2:14" ht="15.6" x14ac:dyDescent="0.35">
      <c r="B59" s="120" t="s">
        <v>526</v>
      </c>
      <c r="C59" s="962" t="s">
        <v>235</v>
      </c>
      <c r="D59" s="120">
        <v>16.5</v>
      </c>
      <c r="E59" s="962" t="s">
        <v>170</v>
      </c>
      <c r="F59" s="120" t="s">
        <v>528</v>
      </c>
      <c r="G59" s="962" t="s">
        <v>226</v>
      </c>
      <c r="H59" s="120" t="s">
        <v>529</v>
      </c>
      <c r="N59" t="s">
        <v>525</v>
      </c>
    </row>
    <row r="60" spans="2:14" ht="15.6" x14ac:dyDescent="0.35">
      <c r="B60" s="321" t="s">
        <v>527</v>
      </c>
      <c r="C60" s="963"/>
      <c r="D60" s="321" t="s">
        <v>555</v>
      </c>
      <c r="E60" s="963"/>
      <c r="F60" s="321" t="s">
        <v>54</v>
      </c>
      <c r="G60" s="963"/>
      <c r="H60" s="321" t="s">
        <v>482</v>
      </c>
      <c r="N60" t="s">
        <v>530</v>
      </c>
    </row>
    <row r="61" spans="2:14" x14ac:dyDescent="0.3">
      <c r="B61" s="465">
        <f>D61-(F61*H61)</f>
        <v>9.8369333333333326</v>
      </c>
      <c r="C61" s="461" t="s">
        <v>235</v>
      </c>
      <c r="D61" s="462">
        <v>16.5</v>
      </c>
      <c r="E61" s="461" t="s">
        <v>170</v>
      </c>
      <c r="F61" s="464">
        <f>B25</f>
        <v>133.26133333333334</v>
      </c>
      <c r="G61" s="461" t="s">
        <v>226</v>
      </c>
      <c r="H61" s="463">
        <v>0.05</v>
      </c>
      <c r="N61" t="s">
        <v>553</v>
      </c>
    </row>
    <row r="62" spans="2:14" ht="15.6" x14ac:dyDescent="0.35">
      <c r="B62" s="5">
        <v>11</v>
      </c>
      <c r="C62" s="447"/>
      <c r="D62" s="35"/>
      <c r="E62" s="447"/>
      <c r="F62" s="35"/>
      <c r="G62" s="447"/>
      <c r="H62" s="322"/>
      <c r="N62" t="s">
        <v>554</v>
      </c>
    </row>
    <row r="63" spans="2:14" x14ac:dyDescent="0.3">
      <c r="B63" s="5" t="s">
        <v>51</v>
      </c>
      <c r="C63" s="466" t="s">
        <v>235</v>
      </c>
      <c r="D63" s="5" t="s">
        <v>527</v>
      </c>
      <c r="E63" s="459" t="s">
        <v>226</v>
      </c>
      <c r="F63" s="5" t="s">
        <v>54</v>
      </c>
      <c r="G63" s="198"/>
      <c r="H63" s="14"/>
    </row>
    <row r="64" spans="2:14" x14ac:dyDescent="0.3">
      <c r="B64" s="119">
        <f>ROUND(D64*F64,2)</f>
        <v>1465.87</v>
      </c>
      <c r="C64" s="461" t="s">
        <v>235</v>
      </c>
      <c r="D64" s="35">
        <f>B62</f>
        <v>11</v>
      </c>
      <c r="E64" s="447" t="s">
        <v>226</v>
      </c>
      <c r="F64" s="453">
        <f>B25</f>
        <v>133.26133333333334</v>
      </c>
      <c r="G64" s="198"/>
      <c r="H64" s="14"/>
    </row>
    <row r="65" spans="2:14" x14ac:dyDescent="0.3">
      <c r="B65" s="454"/>
    </row>
    <row r="66" spans="2:14" ht="15.6" x14ac:dyDescent="0.35">
      <c r="B66" s="964" t="s">
        <v>556</v>
      </c>
      <c r="C66" s="965"/>
      <c r="D66" s="965"/>
      <c r="E66" s="965"/>
      <c r="F66" s="965"/>
      <c r="G66" s="965"/>
      <c r="H66" s="966"/>
      <c r="N66" t="s">
        <v>559</v>
      </c>
    </row>
    <row r="67" spans="2:14" ht="15.6" x14ac:dyDescent="0.3">
      <c r="B67" s="249" t="s">
        <v>542</v>
      </c>
      <c r="C67" s="962" t="s">
        <v>235</v>
      </c>
      <c r="D67" s="36" t="s">
        <v>538</v>
      </c>
      <c r="E67" s="962" t="s">
        <v>226</v>
      </c>
      <c r="F67" s="36" t="s">
        <v>543</v>
      </c>
      <c r="G67" s="962" t="s">
        <v>226</v>
      </c>
      <c r="H67" s="278" t="s">
        <v>545</v>
      </c>
      <c r="N67" t="s">
        <v>566</v>
      </c>
    </row>
    <row r="68" spans="2:14" x14ac:dyDescent="0.3">
      <c r="B68" s="326" t="s">
        <v>51</v>
      </c>
      <c r="C68" s="963"/>
      <c r="D68" s="67" t="s">
        <v>491</v>
      </c>
      <c r="E68" s="963"/>
      <c r="F68" s="67" t="s">
        <v>544</v>
      </c>
      <c r="G68" s="963"/>
      <c r="H68" s="280" t="s">
        <v>482</v>
      </c>
      <c r="N68" t="s">
        <v>567</v>
      </c>
    </row>
    <row r="69" spans="2:14" ht="30" customHeight="1" x14ac:dyDescent="0.3">
      <c r="B69" s="398">
        <f>D69*F69*H69</f>
        <v>48062.715147820803</v>
      </c>
      <c r="C69" s="447" t="s">
        <v>235</v>
      </c>
      <c r="D69" s="403">
        <f>B40</f>
        <v>610.73898480000003</v>
      </c>
      <c r="E69" s="447" t="s">
        <v>226</v>
      </c>
      <c r="F69" s="35">
        <v>3279</v>
      </c>
      <c r="G69" s="447" t="s">
        <v>226</v>
      </c>
      <c r="H69" s="322">
        <v>2.4E-2</v>
      </c>
    </row>
    <row r="71" spans="2:14" s="626" customFormat="1" ht="16.2" thickBot="1" x14ac:dyDescent="0.4">
      <c r="B71" s="984" t="s">
        <v>546</v>
      </c>
      <c r="C71" s="984"/>
      <c r="D71" s="984"/>
      <c r="E71" s="984"/>
      <c r="F71" s="984"/>
      <c r="N71" s="626" t="s">
        <v>568</v>
      </c>
    </row>
    <row r="72" spans="2:14" s="626" customFormat="1" ht="15" customHeight="1" x14ac:dyDescent="0.3">
      <c r="B72" s="627" t="s">
        <v>571</v>
      </c>
      <c r="C72" s="986" t="s">
        <v>235</v>
      </c>
      <c r="D72" s="628" t="s">
        <v>569</v>
      </c>
      <c r="E72" s="986" t="s">
        <v>226</v>
      </c>
      <c r="F72" s="629" t="s">
        <v>484</v>
      </c>
      <c r="G72" s="997" t="s">
        <v>226</v>
      </c>
      <c r="H72" s="999" t="s">
        <v>574</v>
      </c>
      <c r="I72" s="1001" t="s">
        <v>226</v>
      </c>
      <c r="J72" s="630" t="s">
        <v>573</v>
      </c>
      <c r="N72" s="631" t="s">
        <v>572</v>
      </c>
    </row>
    <row r="73" spans="2:14" s="626" customFormat="1" ht="15" thickBot="1" x14ac:dyDescent="0.35">
      <c r="B73" s="632" t="s">
        <v>51</v>
      </c>
      <c r="C73" s="987"/>
      <c r="D73" s="633" t="s">
        <v>570</v>
      </c>
      <c r="E73" s="987"/>
      <c r="F73" s="634" t="s">
        <v>54</v>
      </c>
      <c r="G73" s="998"/>
      <c r="H73" s="1000"/>
      <c r="I73" s="1002"/>
      <c r="J73" s="635" t="s">
        <v>482</v>
      </c>
    </row>
    <row r="74" spans="2:14" s="626" customFormat="1" ht="29.25" customHeight="1" thickBot="1" x14ac:dyDescent="0.35">
      <c r="B74" s="636">
        <f>D74*F74*H74*J74</f>
        <v>2188.8173999999999</v>
      </c>
      <c r="C74" s="637" t="s">
        <v>235</v>
      </c>
      <c r="D74" s="638">
        <v>45</v>
      </c>
      <c r="E74" s="637" t="s">
        <v>226</v>
      </c>
      <c r="F74" s="639">
        <f>B25</f>
        <v>133.26133333333334</v>
      </c>
      <c r="G74" s="637" t="s">
        <v>226</v>
      </c>
      <c r="H74" s="640">
        <v>365</v>
      </c>
      <c r="I74" s="641" t="s">
        <v>226</v>
      </c>
      <c r="J74" s="642">
        <v>1E-3</v>
      </c>
      <c r="N74" s="626" t="s">
        <v>697</v>
      </c>
    </row>
    <row r="75" spans="2:14" s="626" customFormat="1" x14ac:dyDescent="0.3">
      <c r="B75" s="643"/>
      <c r="C75" s="644"/>
      <c r="D75" s="645"/>
      <c r="E75" s="644"/>
      <c r="F75" s="646"/>
      <c r="G75" s="644"/>
      <c r="H75" s="647"/>
      <c r="I75" s="644"/>
      <c r="J75" s="647"/>
    </row>
    <row r="76" spans="2:14" s="626" customFormat="1" x14ac:dyDescent="0.3">
      <c r="B76" s="1003" t="s">
        <v>52</v>
      </c>
      <c r="C76" s="1004"/>
      <c r="D76" s="1004"/>
      <c r="E76" s="1004"/>
      <c r="F76" s="1005"/>
      <c r="G76" s="644"/>
      <c r="H76" s="647"/>
      <c r="I76" s="644"/>
      <c r="J76" s="647"/>
    </row>
    <row r="77" spans="2:14" s="626" customFormat="1" ht="15.6" x14ac:dyDescent="0.3">
      <c r="B77" s="648" t="s">
        <v>635</v>
      </c>
      <c r="C77" s="986" t="s">
        <v>235</v>
      </c>
      <c r="D77" s="649" t="s">
        <v>542</v>
      </c>
      <c r="E77" s="986" t="s">
        <v>170</v>
      </c>
      <c r="F77" s="650" t="s">
        <v>571</v>
      </c>
      <c r="G77" s="644"/>
      <c r="H77" s="647"/>
      <c r="I77" s="644"/>
      <c r="J77" s="647"/>
    </row>
    <row r="78" spans="2:14" s="626" customFormat="1" x14ac:dyDescent="0.3">
      <c r="B78" s="651" t="s">
        <v>51</v>
      </c>
      <c r="C78" s="987"/>
      <c r="D78" s="652" t="s">
        <v>51</v>
      </c>
      <c r="E78" s="987"/>
      <c r="F78" s="653" t="s">
        <v>51</v>
      </c>
      <c r="G78" s="644"/>
      <c r="H78" s="647"/>
      <c r="I78" s="644"/>
      <c r="J78" s="647"/>
    </row>
    <row r="79" spans="2:14" x14ac:dyDescent="0.3">
      <c r="B79" s="211"/>
      <c r="C79" s="198"/>
      <c r="D79" s="34"/>
      <c r="E79" s="198"/>
      <c r="F79" s="445"/>
      <c r="G79" s="198"/>
      <c r="H79" s="14"/>
      <c r="I79" s="198"/>
      <c r="J79" s="14"/>
    </row>
    <row r="81" spans="2:16" x14ac:dyDescent="0.3">
      <c r="B81" s="985" t="s">
        <v>5</v>
      </c>
      <c r="C81" s="985"/>
      <c r="D81" s="985"/>
      <c r="E81" s="985"/>
      <c r="F81" s="985"/>
    </row>
    <row r="82" spans="2:16" ht="15" customHeight="1" x14ac:dyDescent="0.3">
      <c r="B82" s="988" t="s">
        <v>586</v>
      </c>
      <c r="C82" s="988"/>
      <c r="D82" s="988"/>
      <c r="E82" s="988"/>
      <c r="F82" s="988"/>
    </row>
    <row r="83" spans="2:16" x14ac:dyDescent="0.3">
      <c r="B83" s="937"/>
      <c r="C83" s="937"/>
      <c r="D83" s="937"/>
      <c r="E83" s="937"/>
      <c r="F83" s="937"/>
    </row>
    <row r="84" spans="2:16" x14ac:dyDescent="0.3">
      <c r="B84" s="937"/>
      <c r="C84" s="937"/>
      <c r="D84" s="937"/>
      <c r="E84" s="937"/>
      <c r="F84" s="937"/>
    </row>
    <row r="85" spans="2:16" x14ac:dyDescent="0.3">
      <c r="B85" s="250"/>
      <c r="C85" s="250"/>
      <c r="D85" s="250"/>
      <c r="E85" s="250"/>
      <c r="F85" s="250"/>
    </row>
    <row r="86" spans="2:16" x14ac:dyDescent="0.3">
      <c r="B86" s="964" t="s">
        <v>606</v>
      </c>
      <c r="C86" s="965"/>
      <c r="D86" s="965"/>
      <c r="E86" s="965"/>
      <c r="F86" s="965"/>
      <c r="G86" s="965"/>
      <c r="H86" s="965"/>
      <c r="I86" s="965"/>
      <c r="J86" s="966"/>
    </row>
    <row r="87" spans="2:16" ht="15.6" x14ac:dyDescent="0.3">
      <c r="B87" s="377" t="s">
        <v>607</v>
      </c>
      <c r="C87" s="962" t="s">
        <v>235</v>
      </c>
      <c r="D87" s="377" t="s">
        <v>608</v>
      </c>
      <c r="E87" s="962" t="s">
        <v>226</v>
      </c>
      <c r="F87" s="377" t="s">
        <v>173</v>
      </c>
      <c r="G87" s="962" t="s">
        <v>233</v>
      </c>
      <c r="H87" s="120" t="s">
        <v>609</v>
      </c>
      <c r="I87" s="962" t="s">
        <v>233</v>
      </c>
      <c r="J87" s="120" t="s">
        <v>613</v>
      </c>
    </row>
    <row r="88" spans="2:16" x14ac:dyDescent="0.3">
      <c r="B88" s="406"/>
      <c r="C88" s="963"/>
      <c r="D88" s="406"/>
      <c r="E88" s="963"/>
      <c r="F88" s="406"/>
      <c r="G88" s="853"/>
      <c r="H88" s="16"/>
      <c r="I88" s="853"/>
      <c r="J88" s="16"/>
    </row>
    <row r="89" spans="2:16" ht="29.25" customHeight="1" x14ac:dyDescent="0.3">
      <c r="B89" s="378">
        <f>D89*(F89+H89)</f>
        <v>1.13741</v>
      </c>
      <c r="C89" s="447" t="s">
        <v>235</v>
      </c>
      <c r="D89" s="117">
        <f>'Kat. 2 Heizung'!F14</f>
        <v>1.07</v>
      </c>
      <c r="E89" s="447" t="s">
        <v>226</v>
      </c>
      <c r="F89" s="117" cm="1">
        <f t="array" ref="F89">'Kat. 2 Heizung'!N36:N36</f>
        <v>1.042</v>
      </c>
      <c r="G89" s="447" t="s">
        <v>233</v>
      </c>
      <c r="H89" s="35">
        <f>'Kat. 2 Heizung'!M44</f>
        <v>2.1000000000000001E-2</v>
      </c>
      <c r="I89" s="447" t="s">
        <v>233</v>
      </c>
      <c r="J89" s="322">
        <v>0</v>
      </c>
    </row>
    <row r="90" spans="2:16" x14ac:dyDescent="0.3">
      <c r="B90" s="250"/>
      <c r="C90" s="198"/>
      <c r="D90" s="250"/>
      <c r="E90" s="198"/>
      <c r="F90" s="250"/>
      <c r="G90" s="14"/>
      <c r="I90" s="14"/>
    </row>
    <row r="91" spans="2:16" ht="15.6" x14ac:dyDescent="0.3">
      <c r="B91" s="992" t="s">
        <v>691</v>
      </c>
      <c r="C91" s="993"/>
      <c r="D91" s="993"/>
      <c r="E91" s="993"/>
      <c r="F91" s="993"/>
      <c r="G91" s="993"/>
      <c r="H91" s="994"/>
      <c r="I91" s="249"/>
      <c r="J91" s="39"/>
      <c r="K91" s="6"/>
      <c r="L91" s="964" t="s">
        <v>690</v>
      </c>
      <c r="M91" s="965"/>
      <c r="N91" s="965"/>
      <c r="O91" s="965"/>
      <c r="P91" s="966"/>
    </row>
    <row r="92" spans="2:16" ht="15.6" x14ac:dyDescent="0.35">
      <c r="B92" s="377" t="s">
        <v>642</v>
      </c>
      <c r="C92" s="995" t="s">
        <v>235</v>
      </c>
      <c r="D92" s="608" t="s">
        <v>619</v>
      </c>
      <c r="E92" s="995" t="s">
        <v>226</v>
      </c>
      <c r="F92" s="608" t="s">
        <v>620</v>
      </c>
      <c r="G92" s="995" t="s">
        <v>233</v>
      </c>
      <c r="H92" s="608" t="s">
        <v>622</v>
      </c>
      <c r="I92" s="51"/>
      <c r="K92" s="2"/>
      <c r="L92" s="377" t="s">
        <v>649</v>
      </c>
      <c r="M92" s="995" t="s">
        <v>235</v>
      </c>
      <c r="N92" s="120" t="s">
        <v>651</v>
      </c>
      <c r="O92" s="995" t="s">
        <v>228</v>
      </c>
      <c r="P92" s="120" t="s">
        <v>647</v>
      </c>
    </row>
    <row r="93" spans="2:16" x14ac:dyDescent="0.3">
      <c r="B93" s="669" t="s">
        <v>51</v>
      </c>
      <c r="C93" s="996"/>
      <c r="D93" s="669" t="s">
        <v>51</v>
      </c>
      <c r="E93" s="996"/>
      <c r="F93" s="669"/>
      <c r="G93" s="800"/>
      <c r="H93" s="321" t="s">
        <v>51</v>
      </c>
      <c r="I93" s="51"/>
      <c r="K93" s="2"/>
      <c r="L93" s="321" t="s">
        <v>51</v>
      </c>
      <c r="M93" s="996"/>
      <c r="N93" s="321" t="s">
        <v>51</v>
      </c>
      <c r="O93" s="996"/>
      <c r="P93" s="321" t="s">
        <v>54</v>
      </c>
    </row>
    <row r="94" spans="2:16" ht="30.75" customHeight="1" x14ac:dyDescent="0.3">
      <c r="B94" s="668">
        <f>ROUNDUP(D94*F94+H94,0)</f>
        <v>56133</v>
      </c>
      <c r="C94" s="188" t="s">
        <v>235</v>
      </c>
      <c r="D94" s="605">
        <f>B69</f>
        <v>48062.715147820803</v>
      </c>
      <c r="E94" s="188" t="s">
        <v>226</v>
      </c>
      <c r="F94" s="191">
        <f>B89</f>
        <v>1.13741</v>
      </c>
      <c r="G94" s="188" t="s">
        <v>233</v>
      </c>
      <c r="H94" s="381">
        <f>B64</f>
        <v>1465.87</v>
      </c>
      <c r="I94" s="326"/>
      <c r="J94" s="40"/>
      <c r="K94" s="678"/>
      <c r="L94" s="672">
        <f>ROUND(N94/P94,1)</f>
        <v>386.1</v>
      </c>
      <c r="M94" s="188" t="s">
        <v>235</v>
      </c>
      <c r="N94" s="605">
        <f>B94</f>
        <v>56133</v>
      </c>
      <c r="O94" s="188" t="s">
        <v>228</v>
      </c>
      <c r="P94" s="673">
        <f>B15</f>
        <v>145.376</v>
      </c>
    </row>
    <row r="95" spans="2:16" x14ac:dyDescent="0.3">
      <c r="B95" s="250"/>
      <c r="C95" s="198"/>
      <c r="D95" s="250"/>
      <c r="E95" s="198"/>
      <c r="F95" s="250"/>
      <c r="G95" s="14"/>
      <c r="I95" s="14"/>
    </row>
    <row r="96" spans="2:16" ht="15.6" x14ac:dyDescent="0.3">
      <c r="B96" s="964" t="s">
        <v>692</v>
      </c>
      <c r="C96" s="965"/>
      <c r="D96" s="965"/>
      <c r="E96" s="965"/>
      <c r="F96" s="966"/>
      <c r="G96" s="670"/>
      <c r="H96" s="671"/>
      <c r="I96" s="36"/>
      <c r="J96" s="39"/>
      <c r="K96" s="6"/>
      <c r="L96" s="964" t="s">
        <v>650</v>
      </c>
      <c r="M96" s="965"/>
      <c r="N96" s="965"/>
      <c r="O96" s="965"/>
      <c r="P96" s="966"/>
    </row>
    <row r="97" spans="2:16" ht="17.25" customHeight="1" x14ac:dyDescent="0.3">
      <c r="B97" s="674" t="s">
        <v>634</v>
      </c>
      <c r="C97" s="989" t="s">
        <v>235</v>
      </c>
      <c r="D97" s="674" t="s">
        <v>642</v>
      </c>
      <c r="E97" s="989" t="s">
        <v>226</v>
      </c>
      <c r="F97" s="931" t="s">
        <v>633</v>
      </c>
      <c r="G97" s="1007"/>
      <c r="H97" s="69"/>
      <c r="I97" s="14"/>
      <c r="K97" s="2"/>
      <c r="L97" s="674" t="s">
        <v>632</v>
      </c>
      <c r="M97" s="989" t="s">
        <v>235</v>
      </c>
      <c r="N97" s="674" t="s">
        <v>642</v>
      </c>
      <c r="O97" s="995" t="s">
        <v>228</v>
      </c>
      <c r="P97" s="120" t="s">
        <v>647</v>
      </c>
    </row>
    <row r="98" spans="2:16" x14ac:dyDescent="0.3">
      <c r="B98" s="669" t="s">
        <v>51</v>
      </c>
      <c r="C98" s="996"/>
      <c r="D98" s="669" t="s">
        <v>51</v>
      </c>
      <c r="E98" s="996"/>
      <c r="F98" s="1006"/>
      <c r="G98" s="727"/>
      <c r="H98" s="14"/>
      <c r="I98" s="14"/>
      <c r="K98" s="2"/>
      <c r="L98" s="669" t="s">
        <v>527</v>
      </c>
      <c r="M98" s="996"/>
      <c r="N98" s="669" t="s">
        <v>51</v>
      </c>
      <c r="O98" s="996"/>
      <c r="P98" s="321" t="s">
        <v>54</v>
      </c>
    </row>
    <row r="99" spans="2:16" ht="30" customHeight="1" x14ac:dyDescent="0.3">
      <c r="B99" s="119">
        <f>ROUNDUP(D99*F99,0)</f>
        <v>61747</v>
      </c>
      <c r="C99" s="447" t="s">
        <v>235</v>
      </c>
      <c r="D99" s="675">
        <f>B94</f>
        <v>56133</v>
      </c>
      <c r="E99" s="676" t="s">
        <v>226</v>
      </c>
      <c r="F99" s="606">
        <v>1.1000000000000001</v>
      </c>
      <c r="G99" s="677"/>
      <c r="H99" s="38"/>
      <c r="I99" s="67"/>
      <c r="J99" s="40"/>
      <c r="K99" s="678"/>
      <c r="L99" s="452">
        <f>ROUNDUP(N99/P99,1)</f>
        <v>424.8</v>
      </c>
      <c r="M99" s="447" t="s">
        <v>235</v>
      </c>
      <c r="N99" s="675">
        <f>B99</f>
        <v>61747</v>
      </c>
      <c r="O99" s="188" t="s">
        <v>228</v>
      </c>
      <c r="P99" s="673">
        <f>B15</f>
        <v>145.376</v>
      </c>
    </row>
    <row r="100" spans="2:16" x14ac:dyDescent="0.3">
      <c r="B100" s="250"/>
      <c r="C100" s="198"/>
      <c r="D100" s="250"/>
      <c r="E100" s="198"/>
      <c r="F100" s="250"/>
      <c r="G100" s="14"/>
      <c r="I100" s="14"/>
    </row>
    <row r="101" spans="2:16" s="159" customFormat="1" x14ac:dyDescent="0.3">
      <c r="B101" s="979" t="s">
        <v>646</v>
      </c>
      <c r="C101" s="980"/>
      <c r="D101" s="980"/>
      <c r="E101" s="980"/>
      <c r="F101" s="981"/>
    </row>
    <row r="102" spans="2:16" ht="15.6" x14ac:dyDescent="0.3">
      <c r="B102" s="373" t="s">
        <v>641</v>
      </c>
      <c r="C102" s="962" t="s">
        <v>235</v>
      </c>
      <c r="D102" s="37" t="s">
        <v>642</v>
      </c>
      <c r="E102" s="962" t="s">
        <v>226</v>
      </c>
      <c r="F102" s="379" t="s">
        <v>643</v>
      </c>
      <c r="G102" s="14"/>
      <c r="I102" s="14"/>
    </row>
    <row r="103" spans="2:16" x14ac:dyDescent="0.3">
      <c r="B103" s="324" t="s">
        <v>644</v>
      </c>
      <c r="C103" s="963"/>
      <c r="D103" s="38" t="s">
        <v>51</v>
      </c>
      <c r="E103" s="963"/>
      <c r="F103" s="381" t="s">
        <v>645</v>
      </c>
      <c r="G103" s="14"/>
      <c r="I103" s="14"/>
    </row>
    <row r="104" spans="2:16" ht="29.25" customHeight="1" x14ac:dyDescent="0.3">
      <c r="B104" s="378">
        <f>D104*F104</f>
        <v>11282733</v>
      </c>
      <c r="C104" s="447" t="s">
        <v>235</v>
      </c>
      <c r="D104" s="688">
        <f>B94</f>
        <v>56133</v>
      </c>
      <c r="E104" s="676" t="s">
        <v>226</v>
      </c>
      <c r="F104" s="606">
        <f>'Kat. 2 Heizung'!D72</f>
        <v>201</v>
      </c>
      <c r="G104" s="14"/>
      <c r="I104" s="14"/>
    </row>
    <row r="105" spans="2:16" x14ac:dyDescent="0.3">
      <c r="B105" s="8" t="s">
        <v>662</v>
      </c>
      <c r="C105" s="459" t="s">
        <v>235</v>
      </c>
      <c r="D105" s="8" t="s">
        <v>644</v>
      </c>
      <c r="E105" s="689" t="s">
        <v>226</v>
      </c>
      <c r="F105" s="8" t="s">
        <v>663</v>
      </c>
      <c r="G105" s="14"/>
      <c r="I105" s="14"/>
    </row>
    <row r="106" spans="2:16" ht="30" customHeight="1" x14ac:dyDescent="0.3">
      <c r="B106" s="378">
        <f>ROUND(D106*F106,2)</f>
        <v>11.28</v>
      </c>
      <c r="C106" s="447" t="s">
        <v>235</v>
      </c>
      <c r="D106" s="117">
        <f>B104</f>
        <v>11282733</v>
      </c>
      <c r="E106" s="676" t="s">
        <v>226</v>
      </c>
      <c r="F106" s="606">
        <v>9.9999999999999995E-7</v>
      </c>
      <c r="G106" s="14"/>
      <c r="I106" s="14"/>
    </row>
    <row r="108" spans="2:16" x14ac:dyDescent="0.3">
      <c r="B108" s="991" t="s">
        <v>46</v>
      </c>
      <c r="C108" s="991"/>
      <c r="D108" s="991"/>
      <c r="E108" s="991"/>
      <c r="F108" s="991"/>
    </row>
    <row r="109" spans="2:16" ht="15.6" x14ac:dyDescent="0.3">
      <c r="B109" s="5" t="s">
        <v>677</v>
      </c>
      <c r="C109" s="459" t="s">
        <v>235</v>
      </c>
      <c r="D109" s="8" t="s">
        <v>642</v>
      </c>
      <c r="E109" s="459" t="s">
        <v>228</v>
      </c>
      <c r="F109" s="5" t="s">
        <v>668</v>
      </c>
    </row>
    <row r="110" spans="2:16" ht="30" customHeight="1" x14ac:dyDescent="0.3">
      <c r="B110" s="119">
        <f>ROUND(D110/F110,0)</f>
        <v>5387</v>
      </c>
      <c r="C110" s="447" t="s">
        <v>235</v>
      </c>
      <c r="D110" s="675">
        <f>B94</f>
        <v>56133</v>
      </c>
      <c r="E110" s="447" t="s">
        <v>228</v>
      </c>
      <c r="F110" s="322">
        <f>'Kat. 2 Heizung'!C82</f>
        <v>10.42</v>
      </c>
    </row>
    <row r="112" spans="2:16" x14ac:dyDescent="0.3">
      <c r="B112" s="991" t="s">
        <v>69</v>
      </c>
      <c r="C112" s="991"/>
      <c r="D112" s="991"/>
      <c r="E112" s="991"/>
      <c r="F112" s="991"/>
    </row>
    <row r="113" spans="2:24" x14ac:dyDescent="0.3">
      <c r="B113" s="5" t="s">
        <v>679</v>
      </c>
      <c r="C113" s="459" t="s">
        <v>235</v>
      </c>
      <c r="D113" s="5" t="s">
        <v>677</v>
      </c>
      <c r="E113" s="689" t="s">
        <v>226</v>
      </c>
      <c r="F113" s="5" t="s">
        <v>669</v>
      </c>
      <c r="G113" s="459" t="s">
        <v>233</v>
      </c>
      <c r="H113" s="5" t="s">
        <v>678</v>
      </c>
    </row>
    <row r="114" spans="2:24" ht="29.25" customHeight="1" x14ac:dyDescent="0.3">
      <c r="B114" s="119">
        <f>ROUND(D114*F114+H114,0)</f>
        <v>3694</v>
      </c>
      <c r="C114" s="447" t="s">
        <v>235</v>
      </c>
      <c r="D114" s="35">
        <f>B110</f>
        <v>5387</v>
      </c>
      <c r="E114" s="676" t="s">
        <v>226</v>
      </c>
      <c r="F114" s="35">
        <f>'Kat. 2 Heizung'!D82</f>
        <v>0.65200000000000002</v>
      </c>
      <c r="G114" s="447" t="s">
        <v>233</v>
      </c>
      <c r="H114" s="322">
        <f>'Kat. 2 Heizung'!E82</f>
        <v>181.83</v>
      </c>
    </row>
    <row r="116" spans="2:24" x14ac:dyDescent="0.3">
      <c r="B116" s="991" t="s">
        <v>587</v>
      </c>
      <c r="C116" s="991"/>
      <c r="D116" s="991"/>
    </row>
    <row r="118" spans="2:24" x14ac:dyDescent="0.3">
      <c r="W118" s="989" t="s">
        <v>235</v>
      </c>
      <c r="X118" s="990">
        <v>47900</v>
      </c>
    </row>
    <row r="119" spans="2:24" x14ac:dyDescent="0.3">
      <c r="W119" s="728"/>
      <c r="X119" s="728"/>
    </row>
    <row r="120" spans="2:24" x14ac:dyDescent="0.3">
      <c r="W120" s="728"/>
      <c r="X120" s="728"/>
    </row>
    <row r="121" spans="2:24" x14ac:dyDescent="0.3">
      <c r="W121" s="728"/>
      <c r="X121" s="728"/>
    </row>
    <row r="122" spans="2:24" x14ac:dyDescent="0.3">
      <c r="W122" s="728"/>
      <c r="X122" s="728"/>
    </row>
    <row r="123" spans="2:24" x14ac:dyDescent="0.3">
      <c r="W123" s="728"/>
      <c r="X123" s="728"/>
    </row>
    <row r="124" spans="2:24" x14ac:dyDescent="0.3">
      <c r="W124" s="728"/>
      <c r="X124" s="728"/>
    </row>
    <row r="129" spans="23:24" x14ac:dyDescent="0.3">
      <c r="W129" s="198" t="s">
        <v>235</v>
      </c>
      <c r="X129" s="539" t="s">
        <v>577</v>
      </c>
    </row>
    <row r="130" spans="23:24" x14ac:dyDescent="0.3">
      <c r="W130" s="198" t="s">
        <v>235</v>
      </c>
      <c r="X130" s="539" t="s">
        <v>578</v>
      </c>
    </row>
    <row r="135" spans="23:24" x14ac:dyDescent="0.3">
      <c r="W135" s="198" t="s">
        <v>235</v>
      </c>
      <c r="X135" s="540" t="s">
        <v>579</v>
      </c>
    </row>
  </sheetData>
  <mergeCells count="89">
    <mergeCell ref="B108:F108"/>
    <mergeCell ref="B112:F112"/>
    <mergeCell ref="M92:M93"/>
    <mergeCell ref="O92:O93"/>
    <mergeCell ref="G97:G98"/>
    <mergeCell ref="L91:P91"/>
    <mergeCell ref="B96:F96"/>
    <mergeCell ref="C97:C98"/>
    <mergeCell ref="E97:E98"/>
    <mergeCell ref="L96:P96"/>
    <mergeCell ref="M97:M98"/>
    <mergeCell ref="O97:O98"/>
    <mergeCell ref="F97:F98"/>
    <mergeCell ref="G72:G73"/>
    <mergeCell ref="H72:H73"/>
    <mergeCell ref="I72:I73"/>
    <mergeCell ref="B76:F76"/>
    <mergeCell ref="E77:E78"/>
    <mergeCell ref="C77:C78"/>
    <mergeCell ref="B82:F84"/>
    <mergeCell ref="W118:W124"/>
    <mergeCell ref="X118:X124"/>
    <mergeCell ref="B116:D116"/>
    <mergeCell ref="C87:C88"/>
    <mergeCell ref="E87:E88"/>
    <mergeCell ref="G87:G88"/>
    <mergeCell ref="I87:I88"/>
    <mergeCell ref="B101:F101"/>
    <mergeCell ref="C102:C103"/>
    <mergeCell ref="E102:E103"/>
    <mergeCell ref="B91:H91"/>
    <mergeCell ref="B86:J86"/>
    <mergeCell ref="C92:C93"/>
    <mergeCell ref="E92:E93"/>
    <mergeCell ref="G92:G93"/>
    <mergeCell ref="B71:F71"/>
    <mergeCell ref="B81:F81"/>
    <mergeCell ref="C72:C73"/>
    <mergeCell ref="E72:E73"/>
    <mergeCell ref="C67:C68"/>
    <mergeCell ref="E67:E68"/>
    <mergeCell ref="G67:G68"/>
    <mergeCell ref="B66:H66"/>
    <mergeCell ref="F45:H45"/>
    <mergeCell ref="F46:H46"/>
    <mergeCell ref="C59:C60"/>
    <mergeCell ref="E59:E60"/>
    <mergeCell ref="G59:G60"/>
    <mergeCell ref="B58:H58"/>
    <mergeCell ref="B37:F37"/>
    <mergeCell ref="C38:C39"/>
    <mergeCell ref="E38:E39"/>
    <mergeCell ref="B2:F2"/>
    <mergeCell ref="B27:F27"/>
    <mergeCell ref="B32:H32"/>
    <mergeCell ref="B12:F12"/>
    <mergeCell ref="B17:F17"/>
    <mergeCell ref="B22:F22"/>
    <mergeCell ref="C33:C34"/>
    <mergeCell ref="E33:E34"/>
    <mergeCell ref="G33:G34"/>
    <mergeCell ref="C18:C19"/>
    <mergeCell ref="E18:E19"/>
    <mergeCell ref="C23:C24"/>
    <mergeCell ref="E23:E24"/>
    <mergeCell ref="B42:L42"/>
    <mergeCell ref="B48:H48"/>
    <mergeCell ref="B53:F53"/>
    <mergeCell ref="J45:L45"/>
    <mergeCell ref="C54:C55"/>
    <mergeCell ref="E54:E55"/>
    <mergeCell ref="C49:C50"/>
    <mergeCell ref="E49:E50"/>
    <mergeCell ref="G49:G50"/>
    <mergeCell ref="I43:I44"/>
    <mergeCell ref="K43:K44"/>
    <mergeCell ref="J46:L46"/>
    <mergeCell ref="C43:C44"/>
    <mergeCell ref="E43:E44"/>
    <mergeCell ref="G43:G44"/>
    <mergeCell ref="C28:C29"/>
    <mergeCell ref="E28:E29"/>
    <mergeCell ref="C3:C4"/>
    <mergeCell ref="E3:E4"/>
    <mergeCell ref="C8:C9"/>
    <mergeCell ref="E8:E9"/>
    <mergeCell ref="C13:C14"/>
    <mergeCell ref="E13:E14"/>
    <mergeCell ref="B7:F7"/>
  </mergeCells>
  <pageMargins left="0.7" right="0.7" top="0.78740157499999996" bottom="0.78740157499999996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ACAF-5531-4913-ADD0-0CF559D10033}">
  <dimension ref="A1:N105"/>
  <sheetViews>
    <sheetView zoomScaleNormal="100" workbookViewId="0">
      <selection sqref="A1:L1"/>
    </sheetView>
  </sheetViews>
  <sheetFormatPr baseColWidth="10" defaultRowHeight="14.4" x14ac:dyDescent="0.3"/>
  <cols>
    <col min="1" max="1" width="23" customWidth="1"/>
    <col min="2" max="2" width="25.33203125" customWidth="1"/>
    <col min="3" max="11" width="8.5546875" customWidth="1"/>
  </cols>
  <sheetData>
    <row r="1" spans="1:14" ht="15.6" x14ac:dyDescent="0.3">
      <c r="A1" s="863" t="s">
        <v>253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4" ht="15.6" x14ac:dyDescent="0.3">
      <c r="A2" s="726"/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</row>
    <row r="3" spans="1:14" ht="28.8" customHeight="1" x14ac:dyDescent="0.3">
      <c r="A3" s="726"/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1185" t="s">
        <v>699</v>
      </c>
      <c r="N3" s="1186"/>
    </row>
    <row r="4" spans="1:14" ht="15.6" x14ac:dyDescent="0.3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</row>
    <row r="5" spans="1:14" x14ac:dyDescent="0.3">
      <c r="A5" s="1017" t="s">
        <v>254</v>
      </c>
      <c r="B5" s="1018"/>
      <c r="C5" s="1018"/>
      <c r="D5" s="1018"/>
      <c r="E5" s="1018"/>
      <c r="F5" s="1018"/>
      <c r="G5" s="1018"/>
      <c r="H5" s="1018"/>
      <c r="I5" s="1018"/>
      <c r="J5" s="1018"/>
      <c r="K5" s="1019"/>
    </row>
    <row r="6" spans="1:14" x14ac:dyDescent="0.3">
      <c r="A6" s="1010" t="s">
        <v>111</v>
      </c>
      <c r="B6" s="1010" t="s">
        <v>112</v>
      </c>
      <c r="C6" s="1013" t="s">
        <v>123</v>
      </c>
      <c r="D6" s="1014"/>
      <c r="E6" s="1014"/>
      <c r="F6" s="1014"/>
      <c r="G6" s="1014"/>
      <c r="H6" s="1014"/>
      <c r="I6" s="1014"/>
      <c r="J6" s="1014"/>
      <c r="K6" s="1015"/>
    </row>
    <row r="7" spans="1:14" ht="43.2" x14ac:dyDescent="0.3">
      <c r="A7" s="1010"/>
      <c r="B7" s="1010"/>
      <c r="C7" s="83" t="s">
        <v>114</v>
      </c>
      <c r="D7" s="83" t="s">
        <v>115</v>
      </c>
      <c r="E7" s="83" t="s">
        <v>116</v>
      </c>
      <c r="F7" s="83" t="s">
        <v>117</v>
      </c>
      <c r="G7" s="83" t="s">
        <v>118</v>
      </c>
      <c r="H7" s="83" t="s">
        <v>119</v>
      </c>
      <c r="I7" s="83" t="s">
        <v>120</v>
      </c>
      <c r="J7" s="83" t="s">
        <v>121</v>
      </c>
      <c r="K7" s="83" t="s">
        <v>252</v>
      </c>
      <c r="L7" s="110"/>
    </row>
    <row r="8" spans="1:14" x14ac:dyDescent="0.3">
      <c r="A8" s="1010"/>
      <c r="B8" s="1010"/>
      <c r="C8" s="1010" t="s">
        <v>122</v>
      </c>
      <c r="D8" s="1010"/>
      <c r="E8" s="1010"/>
      <c r="F8" s="1010"/>
      <c r="G8" s="1010"/>
      <c r="H8" s="1010"/>
      <c r="I8" s="1010"/>
      <c r="J8" s="1010"/>
      <c r="K8" s="1010"/>
    </row>
    <row r="9" spans="1:14" ht="30" customHeight="1" x14ac:dyDescent="0.3">
      <c r="A9" s="1012" t="s">
        <v>53</v>
      </c>
      <c r="B9" s="80" t="s">
        <v>124</v>
      </c>
      <c r="C9" s="702">
        <v>2.1</v>
      </c>
      <c r="D9" s="702">
        <v>2.1</v>
      </c>
      <c r="E9" s="702">
        <v>2.1</v>
      </c>
      <c r="F9" s="702">
        <v>1.3</v>
      </c>
      <c r="G9" s="702">
        <v>1.3</v>
      </c>
      <c r="H9" s="703">
        <v>0.6</v>
      </c>
      <c r="I9" s="85">
        <v>0.4</v>
      </c>
      <c r="J9" s="85">
        <v>0.3</v>
      </c>
      <c r="K9" s="85">
        <v>0.2</v>
      </c>
      <c r="L9" s="85"/>
      <c r="M9" s="1062" t="s">
        <v>689</v>
      </c>
      <c r="N9" s="1063"/>
    </row>
    <row r="10" spans="1:14" ht="30" customHeight="1" x14ac:dyDescent="0.3">
      <c r="A10" s="1012"/>
      <c r="B10" s="80" t="s">
        <v>125</v>
      </c>
      <c r="C10" s="702">
        <v>2.6</v>
      </c>
      <c r="D10" s="702">
        <v>1.4</v>
      </c>
      <c r="E10" s="702">
        <v>1.4</v>
      </c>
      <c r="F10" s="702">
        <v>1.4</v>
      </c>
      <c r="G10" s="703">
        <v>0.8</v>
      </c>
      <c r="H10" s="703">
        <v>0.7</v>
      </c>
      <c r="I10" s="85">
        <v>0.5</v>
      </c>
      <c r="J10" s="85">
        <v>0.3</v>
      </c>
      <c r="K10" s="85">
        <v>0.2</v>
      </c>
      <c r="L10" s="85"/>
      <c r="M10" s="1062"/>
      <c r="N10" s="1063"/>
    </row>
    <row r="11" spans="1:14" ht="13.5" customHeight="1" x14ac:dyDescent="0.3">
      <c r="A11" s="84"/>
      <c r="B11" s="80"/>
      <c r="C11" s="5"/>
      <c r="D11" s="5"/>
      <c r="E11" s="5"/>
      <c r="F11" s="5"/>
      <c r="G11" s="85"/>
      <c r="H11" s="85"/>
      <c r="I11" s="85"/>
      <c r="J11" s="85"/>
      <c r="K11" s="85"/>
    </row>
    <row r="12" spans="1:14" ht="30.75" customHeight="1" x14ac:dyDescent="0.3">
      <c r="A12" s="1012" t="s">
        <v>126</v>
      </c>
      <c r="B12" s="80" t="s">
        <v>127</v>
      </c>
      <c r="C12" s="5">
        <v>2.1</v>
      </c>
      <c r="D12" s="5">
        <v>2.1</v>
      </c>
      <c r="E12" s="5">
        <v>2.1</v>
      </c>
      <c r="F12" s="5">
        <v>2.1</v>
      </c>
      <c r="G12" s="85">
        <v>0.6</v>
      </c>
      <c r="H12" s="85">
        <v>0.6</v>
      </c>
      <c r="I12" s="85">
        <v>0.3</v>
      </c>
      <c r="J12" s="85">
        <v>0.3</v>
      </c>
      <c r="K12" s="85">
        <v>0.2</v>
      </c>
      <c r="L12" s="85"/>
    </row>
    <row r="13" spans="1:14" ht="30.75" customHeight="1" x14ac:dyDescent="0.3">
      <c r="A13" s="1012"/>
      <c r="B13" s="80" t="s">
        <v>128</v>
      </c>
      <c r="C13" s="5">
        <v>1</v>
      </c>
      <c r="D13" s="5">
        <v>1</v>
      </c>
      <c r="E13" s="85">
        <v>0.8</v>
      </c>
      <c r="F13" s="85">
        <v>0.7</v>
      </c>
      <c r="G13" s="85">
        <v>0.6</v>
      </c>
      <c r="H13" s="85">
        <v>0.4</v>
      </c>
      <c r="I13" s="85">
        <v>0.3</v>
      </c>
      <c r="J13" s="85">
        <v>0.3</v>
      </c>
      <c r="K13" s="85">
        <v>0.3</v>
      </c>
      <c r="L13" s="85"/>
    </row>
    <row r="14" spans="1:14" ht="15" customHeight="1" x14ac:dyDescent="0.3">
      <c r="A14" s="84"/>
      <c r="B14" s="80"/>
      <c r="C14" s="5"/>
      <c r="D14" s="5"/>
      <c r="E14" s="85"/>
      <c r="F14" s="85"/>
      <c r="G14" s="85"/>
      <c r="H14" s="85"/>
      <c r="I14" s="85"/>
      <c r="J14" s="85"/>
      <c r="K14" s="85"/>
    </row>
    <row r="15" spans="1:14" ht="30.75" customHeight="1" x14ac:dyDescent="0.3">
      <c r="A15" s="1016" t="s">
        <v>129</v>
      </c>
      <c r="B15" s="700" t="s">
        <v>130</v>
      </c>
      <c r="C15" s="704">
        <v>1.3</v>
      </c>
      <c r="D15" s="704">
        <v>1.3</v>
      </c>
      <c r="E15" s="704">
        <v>1.3</v>
      </c>
      <c r="F15" s="704">
        <v>1.4</v>
      </c>
      <c r="G15" s="705">
        <v>1</v>
      </c>
      <c r="H15" s="705">
        <v>0.8</v>
      </c>
      <c r="I15" s="705">
        <v>0.6</v>
      </c>
      <c r="J15" s="705">
        <v>0.5</v>
      </c>
      <c r="K15" s="705">
        <v>0.4</v>
      </c>
    </row>
    <row r="16" spans="1:14" ht="30" customHeight="1" x14ac:dyDescent="0.3">
      <c r="A16" s="1016"/>
      <c r="B16" s="700" t="s">
        <v>131</v>
      </c>
      <c r="C16" s="706" t="s">
        <v>132</v>
      </c>
      <c r="D16" s="706" t="s">
        <v>132</v>
      </c>
      <c r="E16" s="705">
        <v>1</v>
      </c>
      <c r="F16" s="705">
        <v>0.9</v>
      </c>
      <c r="G16" s="705">
        <v>0.9</v>
      </c>
      <c r="H16" s="705">
        <v>0.7</v>
      </c>
      <c r="I16" s="705">
        <v>0.5</v>
      </c>
      <c r="J16" s="705">
        <v>0.5</v>
      </c>
      <c r="K16" s="705">
        <v>0.4</v>
      </c>
    </row>
    <row r="17" spans="1:11" ht="30" customHeight="1" x14ac:dyDescent="0.3">
      <c r="A17" s="1016"/>
      <c r="B17" s="707" t="s">
        <v>133</v>
      </c>
      <c r="C17" s="704">
        <v>2.8</v>
      </c>
      <c r="D17" s="704">
        <v>2.8</v>
      </c>
      <c r="E17" s="704">
        <v>2.8</v>
      </c>
      <c r="F17" s="706" t="s">
        <v>132</v>
      </c>
      <c r="G17" s="706" t="s">
        <v>132</v>
      </c>
      <c r="H17" s="706" t="s">
        <v>132</v>
      </c>
      <c r="I17" s="706" t="s">
        <v>132</v>
      </c>
      <c r="J17" s="706" t="s">
        <v>132</v>
      </c>
      <c r="K17" s="706" t="s">
        <v>132</v>
      </c>
    </row>
    <row r="18" spans="1:11" ht="30.75" customHeight="1" x14ac:dyDescent="0.3">
      <c r="A18" s="1016"/>
      <c r="B18" s="707" t="s">
        <v>134</v>
      </c>
      <c r="C18" s="704">
        <v>1.8</v>
      </c>
      <c r="D18" s="704">
        <v>1.8</v>
      </c>
      <c r="E18" s="704">
        <v>1.8</v>
      </c>
      <c r="F18" s="706" t="s">
        <v>132</v>
      </c>
      <c r="G18" s="706" t="s">
        <v>132</v>
      </c>
      <c r="H18" s="706" t="s">
        <v>132</v>
      </c>
      <c r="I18" s="706" t="s">
        <v>132</v>
      </c>
      <c r="J18" s="706" t="s">
        <v>132</v>
      </c>
      <c r="K18" s="706" t="s">
        <v>132</v>
      </c>
    </row>
    <row r="19" spans="1:11" ht="30" customHeight="1" x14ac:dyDescent="0.3">
      <c r="A19" s="1016"/>
      <c r="B19" s="89" t="s">
        <v>410</v>
      </c>
      <c r="C19" s="5">
        <v>1.5</v>
      </c>
      <c r="D19" s="5">
        <v>1.5</v>
      </c>
      <c r="E19" s="5">
        <v>1.5</v>
      </c>
      <c r="F19" s="706" t="s">
        <v>132</v>
      </c>
      <c r="G19" s="706" t="s">
        <v>132</v>
      </c>
      <c r="H19" s="706" t="s">
        <v>132</v>
      </c>
      <c r="I19" s="706" t="s">
        <v>132</v>
      </c>
      <c r="J19" s="706" t="s">
        <v>132</v>
      </c>
      <c r="K19" s="706" t="s">
        <v>132</v>
      </c>
    </row>
    <row r="20" spans="1:11" ht="30" customHeight="1" x14ac:dyDescent="0.3">
      <c r="A20" s="1016"/>
      <c r="B20" s="707" t="s">
        <v>135</v>
      </c>
      <c r="C20" s="704">
        <v>1.4</v>
      </c>
      <c r="D20" s="704">
        <v>1.4</v>
      </c>
      <c r="E20" s="704">
        <v>1.4</v>
      </c>
      <c r="F20" s="704">
        <v>1.4</v>
      </c>
      <c r="G20" s="708">
        <v>1</v>
      </c>
      <c r="H20" s="705">
        <v>0.8</v>
      </c>
      <c r="I20" s="705">
        <v>0.6</v>
      </c>
      <c r="J20" s="705">
        <v>0.5</v>
      </c>
      <c r="K20" s="705">
        <v>0.4</v>
      </c>
    </row>
    <row r="21" spans="1:11" ht="45" customHeight="1" x14ac:dyDescent="0.3">
      <c r="A21" s="1016"/>
      <c r="B21" s="707" t="s">
        <v>136</v>
      </c>
      <c r="C21" s="708">
        <v>3</v>
      </c>
      <c r="D21" s="708">
        <v>3</v>
      </c>
      <c r="E21" s="708">
        <v>3</v>
      </c>
      <c r="F21" s="704">
        <v>1.4</v>
      </c>
      <c r="G21" s="708">
        <v>1</v>
      </c>
      <c r="H21" s="705">
        <v>0.8</v>
      </c>
      <c r="I21" s="705">
        <v>0.7</v>
      </c>
      <c r="J21" s="705">
        <v>0.7</v>
      </c>
      <c r="K21" s="705">
        <v>0.4</v>
      </c>
    </row>
    <row r="22" spans="1:11" ht="32.25" customHeight="1" x14ac:dyDescent="0.3">
      <c r="A22" s="1016"/>
      <c r="B22" s="89" t="s">
        <v>137</v>
      </c>
      <c r="C22" s="704">
        <v>2.2000000000000002</v>
      </c>
      <c r="D22" s="704">
        <v>2.2000000000000002</v>
      </c>
      <c r="E22" s="704">
        <v>2.2000000000000002</v>
      </c>
      <c r="F22" s="5">
        <v>1.4</v>
      </c>
      <c r="G22" s="90">
        <v>1</v>
      </c>
      <c r="H22" s="85">
        <v>0.8</v>
      </c>
      <c r="I22" s="85">
        <v>0.6</v>
      </c>
      <c r="J22" s="85">
        <v>0.5</v>
      </c>
      <c r="K22" s="85">
        <v>0.4</v>
      </c>
    </row>
    <row r="23" spans="1:11" ht="15.75" customHeight="1" x14ac:dyDescent="0.3">
      <c r="A23" s="86"/>
      <c r="B23" s="89"/>
      <c r="C23" s="5"/>
      <c r="D23" s="5"/>
      <c r="E23" s="5"/>
      <c r="F23" s="5"/>
      <c r="G23" s="90"/>
      <c r="H23" s="85"/>
      <c r="I23" s="85"/>
      <c r="J23" s="85"/>
      <c r="K23" s="85"/>
    </row>
    <row r="24" spans="1:11" ht="44.25" customHeight="1" x14ac:dyDescent="0.3">
      <c r="A24" s="1023" t="s">
        <v>138</v>
      </c>
      <c r="B24" s="700" t="s">
        <v>139</v>
      </c>
      <c r="C24" s="705">
        <v>0.5</v>
      </c>
      <c r="D24" s="705">
        <v>0.5</v>
      </c>
      <c r="E24" s="705">
        <v>0.5</v>
      </c>
      <c r="F24" s="705">
        <v>0.5</v>
      </c>
      <c r="G24" s="705">
        <v>0.5</v>
      </c>
      <c r="H24" s="705">
        <v>0.5</v>
      </c>
      <c r="I24" s="705">
        <v>0.4</v>
      </c>
      <c r="J24" s="705">
        <v>0.4</v>
      </c>
      <c r="K24" s="705">
        <v>0.3</v>
      </c>
    </row>
    <row r="25" spans="1:11" ht="30" customHeight="1" x14ac:dyDescent="0.3">
      <c r="A25" s="1023"/>
      <c r="B25" s="700" t="s">
        <v>140</v>
      </c>
      <c r="C25" s="708">
        <v>2</v>
      </c>
      <c r="D25" s="708">
        <v>2</v>
      </c>
      <c r="E25" s="704">
        <v>1.5</v>
      </c>
      <c r="F25" s="704">
        <v>1.4</v>
      </c>
      <c r="G25" s="705">
        <v>0.6</v>
      </c>
      <c r="H25" s="705">
        <v>0.5</v>
      </c>
      <c r="I25" s="705">
        <v>0.4</v>
      </c>
      <c r="J25" s="705">
        <v>0.4</v>
      </c>
      <c r="K25" s="705">
        <v>0.3</v>
      </c>
    </row>
    <row r="26" spans="1:11" ht="15" customHeight="1" x14ac:dyDescent="0.3">
      <c r="A26" s="86"/>
      <c r="B26" s="87"/>
      <c r="C26" s="90"/>
      <c r="D26" s="90"/>
      <c r="E26" s="5"/>
      <c r="F26" s="5"/>
      <c r="G26" s="85"/>
      <c r="H26" s="85"/>
      <c r="I26" s="85"/>
      <c r="J26" s="85"/>
      <c r="K26" s="85"/>
    </row>
    <row r="27" spans="1:11" ht="30" customHeight="1" x14ac:dyDescent="0.3">
      <c r="A27" s="1016" t="s">
        <v>141</v>
      </c>
      <c r="B27" s="89" t="s">
        <v>142</v>
      </c>
      <c r="C27" s="5">
        <v>1.6</v>
      </c>
      <c r="D27" s="5">
        <v>1.6</v>
      </c>
      <c r="E27" s="5">
        <v>2.2999999999999998</v>
      </c>
      <c r="F27" s="90">
        <v>1</v>
      </c>
      <c r="G27" s="90">
        <v>1</v>
      </c>
      <c r="H27" s="85">
        <v>0.8</v>
      </c>
      <c r="I27" s="85">
        <v>0.6</v>
      </c>
      <c r="J27" s="85">
        <v>0.6</v>
      </c>
      <c r="K27" s="85">
        <v>0.5</v>
      </c>
    </row>
    <row r="28" spans="1:11" ht="28.8" x14ac:dyDescent="0.3">
      <c r="A28" s="1016"/>
      <c r="B28" s="88" t="s">
        <v>143</v>
      </c>
      <c r="C28" s="90">
        <v>1</v>
      </c>
      <c r="D28" s="90">
        <v>1</v>
      </c>
      <c r="E28" s="90">
        <v>1</v>
      </c>
      <c r="F28" s="5">
        <v>0.8</v>
      </c>
      <c r="G28" s="5">
        <v>0.6</v>
      </c>
      <c r="H28" s="85">
        <v>0.6</v>
      </c>
      <c r="I28" s="85">
        <v>0.4</v>
      </c>
      <c r="J28" s="85">
        <v>0.4</v>
      </c>
      <c r="K28" s="85">
        <v>0.4</v>
      </c>
    </row>
    <row r="29" spans="1:11" ht="28.8" x14ac:dyDescent="0.3">
      <c r="A29" s="1016"/>
      <c r="B29" s="88" t="s">
        <v>144</v>
      </c>
      <c r="C29" s="5">
        <v>1.6</v>
      </c>
      <c r="D29" s="5">
        <v>1.6</v>
      </c>
      <c r="E29" s="5">
        <v>2.2999999999999998</v>
      </c>
      <c r="F29" s="5">
        <v>1.2</v>
      </c>
      <c r="G29" s="5">
        <v>1.2</v>
      </c>
      <c r="H29" s="85">
        <v>0.8</v>
      </c>
      <c r="I29" s="85">
        <v>0.6</v>
      </c>
      <c r="J29" s="85">
        <v>0.6</v>
      </c>
      <c r="K29" s="85">
        <v>0.5</v>
      </c>
    </row>
    <row r="30" spans="1:11" x14ac:dyDescent="0.3">
      <c r="A30" s="86"/>
      <c r="B30" s="88"/>
      <c r="C30" s="5"/>
      <c r="D30" s="5"/>
      <c r="E30" s="5"/>
      <c r="F30" s="5"/>
      <c r="G30" s="5"/>
      <c r="H30" s="85"/>
      <c r="I30" s="85"/>
      <c r="J30" s="85"/>
      <c r="K30" s="85"/>
    </row>
    <row r="31" spans="1:11" ht="30" customHeight="1" x14ac:dyDescent="0.3">
      <c r="A31" s="1012" t="s">
        <v>145</v>
      </c>
      <c r="B31" s="699" t="s">
        <v>146</v>
      </c>
      <c r="C31" s="1011">
        <v>4</v>
      </c>
      <c r="D31" s="1011"/>
      <c r="E31" s="1011"/>
      <c r="F31" s="1011"/>
      <c r="G31" s="1011"/>
      <c r="H31" s="1011"/>
      <c r="I31" s="1011"/>
      <c r="J31" s="1011"/>
      <c r="K31" s="1011"/>
    </row>
    <row r="32" spans="1:11" ht="45.75" customHeight="1" x14ac:dyDescent="0.3">
      <c r="A32" s="1012"/>
      <c r="B32" s="87" t="s">
        <v>147</v>
      </c>
      <c r="C32" s="773">
        <v>2.9</v>
      </c>
      <c r="D32" s="773"/>
      <c r="E32" s="773"/>
      <c r="F32" s="773"/>
      <c r="G32" s="773"/>
      <c r="H32" s="773"/>
      <c r="I32" s="773"/>
      <c r="J32" s="773"/>
      <c r="K32" s="773"/>
    </row>
    <row r="34" spans="1:11" x14ac:dyDescent="0.3">
      <c r="A34" s="1010" t="s">
        <v>111</v>
      </c>
      <c r="B34" s="1010" t="s">
        <v>112</v>
      </c>
      <c r="C34" s="1010"/>
      <c r="D34" s="1010"/>
      <c r="E34" s="1010"/>
      <c r="F34" s="1008" t="s">
        <v>151</v>
      </c>
      <c r="G34" s="1010" t="s">
        <v>150</v>
      </c>
      <c r="H34" s="1010"/>
      <c r="I34" s="1010"/>
      <c r="J34" s="1010"/>
      <c r="K34" s="1010"/>
    </row>
    <row r="35" spans="1:11" ht="15" customHeight="1" x14ac:dyDescent="0.3">
      <c r="A35" s="1010"/>
      <c r="B35" s="1010"/>
      <c r="C35" s="1010"/>
      <c r="D35" s="1010"/>
      <c r="E35" s="1010"/>
      <c r="F35" s="1010"/>
      <c r="G35" s="1008" t="s">
        <v>149</v>
      </c>
      <c r="H35" s="1008" t="s">
        <v>119</v>
      </c>
      <c r="I35" s="1008" t="s">
        <v>120</v>
      </c>
      <c r="J35" s="1008" t="s">
        <v>121</v>
      </c>
      <c r="K35" s="1008" t="s">
        <v>148</v>
      </c>
    </row>
    <row r="36" spans="1:11" x14ac:dyDescent="0.3">
      <c r="A36" s="1010"/>
      <c r="B36" s="1010"/>
      <c r="C36" s="1010"/>
      <c r="D36" s="1010"/>
      <c r="E36" s="1010"/>
      <c r="F36" s="1010"/>
      <c r="G36" s="1010"/>
      <c r="H36" s="1010"/>
      <c r="I36" s="1010"/>
      <c r="J36" s="1008"/>
      <c r="K36" s="1008"/>
    </row>
    <row r="37" spans="1:11" x14ac:dyDescent="0.3">
      <c r="A37" s="1010"/>
      <c r="B37" s="1021"/>
      <c r="C37" s="1021"/>
      <c r="D37" s="1021"/>
      <c r="E37" s="1021"/>
      <c r="F37" s="1010"/>
      <c r="G37" s="1010"/>
      <c r="H37" s="1021"/>
      <c r="I37" s="1021"/>
      <c r="J37" s="1009"/>
      <c r="K37" s="1009"/>
    </row>
    <row r="38" spans="1:11" ht="30" customHeight="1" x14ac:dyDescent="0.3">
      <c r="A38" s="1022" t="s">
        <v>152</v>
      </c>
      <c r="B38" s="28" t="s">
        <v>153</v>
      </c>
      <c r="C38" s="30"/>
      <c r="D38" s="30"/>
      <c r="E38" s="29"/>
      <c r="F38" s="105" t="s">
        <v>154</v>
      </c>
      <c r="G38" s="90">
        <v>5</v>
      </c>
      <c r="H38" s="8" t="s">
        <v>132</v>
      </c>
      <c r="I38" s="8" t="s">
        <v>132</v>
      </c>
      <c r="J38" s="8" t="s">
        <v>132</v>
      </c>
      <c r="K38" s="8" t="s">
        <v>132</v>
      </c>
    </row>
    <row r="39" spans="1:11" ht="28.8" x14ac:dyDescent="0.3">
      <c r="A39" s="1022"/>
      <c r="B39" s="9"/>
      <c r="C39" s="10"/>
      <c r="D39" s="10"/>
      <c r="E39" s="11"/>
      <c r="F39" s="106" t="s">
        <v>155</v>
      </c>
      <c r="G39" s="5" t="s">
        <v>156</v>
      </c>
      <c r="H39" s="8" t="s">
        <v>132</v>
      </c>
      <c r="I39" s="8" t="s">
        <v>132</v>
      </c>
      <c r="J39" s="8" t="s">
        <v>132</v>
      </c>
      <c r="K39" s="8" t="s">
        <v>132</v>
      </c>
    </row>
    <row r="40" spans="1:11" ht="30" customHeight="1" x14ac:dyDescent="0.3">
      <c r="A40" s="1022"/>
      <c r="B40" s="104" t="s">
        <v>157</v>
      </c>
      <c r="C40" s="92"/>
      <c r="D40" s="92"/>
      <c r="E40" s="107"/>
      <c r="F40" s="105" t="s">
        <v>154</v>
      </c>
      <c r="G40" s="5">
        <v>2.7</v>
      </c>
      <c r="H40" s="5">
        <v>2.7</v>
      </c>
      <c r="I40" s="5">
        <v>2.7</v>
      </c>
      <c r="J40" s="5">
        <v>1.6</v>
      </c>
      <c r="K40" s="5">
        <v>1.5</v>
      </c>
    </row>
    <row r="41" spans="1:11" ht="30" customHeight="1" x14ac:dyDescent="0.3">
      <c r="A41" s="1022"/>
      <c r="B41" s="108"/>
      <c r="C41" s="93"/>
      <c r="D41" s="93"/>
      <c r="E41" s="109"/>
      <c r="F41" s="106" t="s">
        <v>155</v>
      </c>
      <c r="G41" s="5" t="s">
        <v>158</v>
      </c>
      <c r="H41" s="5" t="s">
        <v>158</v>
      </c>
      <c r="I41" s="5" t="s">
        <v>158</v>
      </c>
      <c r="J41" s="5" t="s">
        <v>159</v>
      </c>
      <c r="K41" s="5" t="s">
        <v>159</v>
      </c>
    </row>
    <row r="42" spans="1:11" ht="30.75" customHeight="1" x14ac:dyDescent="0.3">
      <c r="A42" s="1022"/>
      <c r="B42" s="28" t="s">
        <v>161</v>
      </c>
      <c r="C42" s="30"/>
      <c r="D42" s="30"/>
      <c r="E42" s="29"/>
      <c r="F42" s="105" t="s">
        <v>154</v>
      </c>
      <c r="G42" s="90">
        <v>3</v>
      </c>
      <c r="H42" s="90">
        <v>3</v>
      </c>
      <c r="I42" s="90">
        <v>3</v>
      </c>
      <c r="J42" s="5">
        <v>1.9</v>
      </c>
      <c r="K42" s="5">
        <v>1.5</v>
      </c>
    </row>
    <row r="43" spans="1:11" ht="30" customHeight="1" x14ac:dyDescent="0.3">
      <c r="A43" s="1022"/>
      <c r="B43" s="9"/>
      <c r="C43" s="10"/>
      <c r="D43" s="10"/>
      <c r="E43" s="11"/>
      <c r="F43" s="106" t="s">
        <v>155</v>
      </c>
      <c r="G43" s="5" t="s">
        <v>158</v>
      </c>
      <c r="H43" s="5" t="s">
        <v>158</v>
      </c>
      <c r="I43" s="5" t="s">
        <v>158</v>
      </c>
      <c r="J43" s="5" t="s">
        <v>159</v>
      </c>
      <c r="K43" s="5" t="s">
        <v>159</v>
      </c>
    </row>
    <row r="44" spans="1:11" ht="30" customHeight="1" x14ac:dyDescent="0.3">
      <c r="A44" s="1022"/>
      <c r="B44" s="104" t="s">
        <v>162</v>
      </c>
      <c r="C44" s="92"/>
      <c r="D44" s="92"/>
      <c r="E44" s="107"/>
      <c r="F44" s="105" t="s">
        <v>154</v>
      </c>
      <c r="G44" s="5">
        <v>4.3</v>
      </c>
      <c r="H44" s="5">
        <v>4.3</v>
      </c>
      <c r="I44" s="5">
        <v>3.2</v>
      </c>
      <c r="J44" s="5">
        <v>1.9</v>
      </c>
      <c r="K44" s="5">
        <v>1.5</v>
      </c>
    </row>
    <row r="45" spans="1:11" ht="30.75" customHeight="1" x14ac:dyDescent="0.3">
      <c r="A45" s="1022"/>
      <c r="B45" s="108"/>
      <c r="C45" s="93"/>
      <c r="D45" s="93"/>
      <c r="E45" s="109"/>
      <c r="F45" s="106" t="s">
        <v>155</v>
      </c>
      <c r="G45" s="5" t="s">
        <v>158</v>
      </c>
      <c r="H45" s="5" t="s">
        <v>158</v>
      </c>
      <c r="I45" s="5" t="s">
        <v>158</v>
      </c>
      <c r="J45" s="5" t="s">
        <v>159</v>
      </c>
      <c r="K45" s="5" t="s">
        <v>159</v>
      </c>
    </row>
    <row r="46" spans="1:11" x14ac:dyDescent="0.3">
      <c r="A46" t="s">
        <v>160</v>
      </c>
    </row>
    <row r="49" spans="1:12" x14ac:dyDescent="0.3">
      <c r="A49" t="s">
        <v>255</v>
      </c>
    </row>
    <row r="50" spans="1:12" x14ac:dyDescent="0.3">
      <c r="A50" s="1020" t="s">
        <v>257</v>
      </c>
      <c r="B50" s="1020"/>
      <c r="C50" s="1010" t="s">
        <v>258</v>
      </c>
      <c r="D50" s="1010"/>
      <c r="E50" s="1010" t="s">
        <v>259</v>
      </c>
      <c r="F50" s="1010"/>
      <c r="G50" s="1010" t="s">
        <v>260</v>
      </c>
      <c r="H50" s="1010"/>
    </row>
    <row r="51" spans="1:12" ht="15.6" x14ac:dyDescent="0.35">
      <c r="A51" s="111" t="s">
        <v>256</v>
      </c>
      <c r="B51" s="6"/>
      <c r="C51" s="112">
        <v>0.1</v>
      </c>
      <c r="D51" s="6"/>
      <c r="E51" s="4">
        <v>0.13</v>
      </c>
      <c r="F51" s="6"/>
      <c r="G51" s="4">
        <v>0.17</v>
      </c>
      <c r="H51" s="6"/>
    </row>
    <row r="52" spans="1:12" ht="15.6" x14ac:dyDescent="0.35">
      <c r="A52" s="113" t="s">
        <v>261</v>
      </c>
      <c r="B52" s="114"/>
      <c r="C52" s="115">
        <v>0.04</v>
      </c>
      <c r="D52" s="114"/>
      <c r="E52" s="116">
        <v>0.04</v>
      </c>
      <c r="F52" s="114"/>
      <c r="G52" s="116">
        <v>0.04</v>
      </c>
      <c r="H52" s="114"/>
    </row>
    <row r="55" spans="1:12" ht="15.6" x14ac:dyDescent="0.3">
      <c r="A55" s="863" t="s">
        <v>434</v>
      </c>
      <c r="B55" s="863"/>
      <c r="C55" s="863"/>
      <c r="D55" s="863"/>
      <c r="E55" s="863"/>
      <c r="F55" s="863"/>
      <c r="G55" s="863"/>
      <c r="H55" s="863"/>
      <c r="I55" s="863"/>
      <c r="J55" s="863"/>
      <c r="K55" s="863"/>
      <c r="L55" s="863"/>
    </row>
    <row r="56" spans="1:12" x14ac:dyDescent="0.3">
      <c r="A56" t="s">
        <v>435</v>
      </c>
    </row>
    <row r="58" spans="1:12" x14ac:dyDescent="0.3">
      <c r="A58" t="s">
        <v>436</v>
      </c>
    </row>
    <row r="59" spans="1:12" ht="15" customHeight="1" x14ac:dyDescent="0.3">
      <c r="A59" s="1025" t="s">
        <v>438</v>
      </c>
      <c r="B59" s="1026"/>
      <c r="C59" s="1026"/>
      <c r="D59" s="1027"/>
      <c r="E59" s="897" t="s">
        <v>437</v>
      </c>
      <c r="F59" s="897"/>
      <c r="G59" s="897"/>
      <c r="H59" s="897"/>
      <c r="I59" s="897"/>
      <c r="J59" s="897"/>
      <c r="K59" s="21"/>
    </row>
    <row r="60" spans="1:12" x14ac:dyDescent="0.3">
      <c r="A60" s="1028"/>
      <c r="B60" s="1029"/>
      <c r="C60" s="1029"/>
      <c r="D60" s="1030"/>
      <c r="E60" s="897"/>
      <c r="F60" s="897"/>
      <c r="G60" s="897"/>
      <c r="H60" s="897"/>
      <c r="I60" s="897"/>
      <c r="J60" s="897"/>
      <c r="K60" s="21"/>
    </row>
    <row r="61" spans="1:12" x14ac:dyDescent="0.3">
      <c r="A61" s="1028"/>
      <c r="B61" s="1029"/>
      <c r="C61" s="1029"/>
      <c r="D61" s="1030"/>
      <c r="E61" s="897"/>
      <c r="F61" s="897"/>
      <c r="G61" s="897"/>
      <c r="H61" s="897"/>
      <c r="I61" s="897"/>
      <c r="J61" s="897"/>
      <c r="K61" s="21"/>
    </row>
    <row r="62" spans="1:12" ht="15" customHeight="1" x14ac:dyDescent="0.3">
      <c r="A62" s="1028"/>
      <c r="B62" s="1029"/>
      <c r="C62" s="1029"/>
      <c r="D62" s="1030"/>
      <c r="E62" s="1008" t="s">
        <v>439</v>
      </c>
      <c r="F62" s="1008"/>
      <c r="G62" s="1008"/>
      <c r="H62" s="1024" t="s">
        <v>440</v>
      </c>
      <c r="I62" s="1024"/>
      <c r="J62" s="1024"/>
    </row>
    <row r="63" spans="1:12" x14ac:dyDescent="0.3">
      <c r="A63" s="1028"/>
      <c r="B63" s="1029"/>
      <c r="C63" s="1029"/>
      <c r="D63" s="1030"/>
      <c r="E63" s="1008"/>
      <c r="F63" s="1008"/>
      <c r="G63" s="1008"/>
      <c r="H63" s="1024"/>
      <c r="I63" s="1024"/>
      <c r="J63" s="1024"/>
    </row>
    <row r="64" spans="1:12" x14ac:dyDescent="0.3">
      <c r="A64" s="1031"/>
      <c r="B64" s="1032"/>
      <c r="C64" s="1032"/>
      <c r="D64" s="1033"/>
      <c r="E64" s="1008"/>
      <c r="F64" s="1008"/>
      <c r="G64" s="1008"/>
      <c r="H64" s="1024"/>
      <c r="I64" s="1024"/>
      <c r="J64" s="1024"/>
    </row>
    <row r="65" spans="1:10" x14ac:dyDescent="0.3">
      <c r="A65" s="1034" t="s">
        <v>448</v>
      </c>
      <c r="B65" s="1036"/>
      <c r="C65" s="1036"/>
      <c r="D65" s="1036"/>
      <c r="E65" s="1036"/>
      <c r="F65" s="1036"/>
      <c r="G65" s="1036"/>
      <c r="H65" s="1036"/>
      <c r="I65" s="1036"/>
      <c r="J65" s="1036"/>
    </row>
    <row r="66" spans="1:10" ht="15" thickBot="1" x14ac:dyDescent="0.35">
      <c r="A66" s="1037"/>
      <c r="B66" s="1037"/>
      <c r="C66" s="1037"/>
      <c r="D66" s="1037"/>
      <c r="E66" s="1037"/>
      <c r="F66" s="1037"/>
      <c r="G66" s="1037"/>
      <c r="H66" s="1036"/>
      <c r="I66" s="1036"/>
      <c r="J66" s="1036"/>
    </row>
    <row r="67" spans="1:10" ht="29.25" customHeight="1" thickBot="1" x14ac:dyDescent="0.35">
      <c r="A67" s="384" t="s">
        <v>441</v>
      </c>
      <c r="B67" s="81"/>
      <c r="C67" s="81"/>
      <c r="D67" s="81"/>
      <c r="E67" s="427"/>
      <c r="F67" s="432">
        <v>0.2</v>
      </c>
      <c r="G67" s="431"/>
      <c r="H67" s="1045">
        <v>0.25</v>
      </c>
      <c r="I67" s="1043"/>
      <c r="J67" s="1043"/>
    </row>
    <row r="68" spans="1:10" ht="15" customHeight="1" x14ac:dyDescent="0.3">
      <c r="A68" s="1046" t="s">
        <v>442</v>
      </c>
      <c r="B68" s="1047"/>
      <c r="C68" s="1047"/>
      <c r="D68" s="1048"/>
      <c r="E68" s="1052" t="s">
        <v>443</v>
      </c>
      <c r="F68" s="1053"/>
      <c r="G68" s="1054"/>
      <c r="H68" s="1043" t="s">
        <v>444</v>
      </c>
      <c r="I68" s="1043"/>
      <c r="J68" s="1043"/>
    </row>
    <row r="69" spans="1:10" x14ac:dyDescent="0.3">
      <c r="A69" s="1049"/>
      <c r="B69" s="1050"/>
      <c r="C69" s="1050"/>
      <c r="D69" s="1051"/>
      <c r="E69" s="1042"/>
      <c r="F69" s="1055"/>
      <c r="G69" s="1056"/>
      <c r="H69" s="1043"/>
      <c r="I69" s="1043"/>
      <c r="J69" s="1043"/>
    </row>
    <row r="70" spans="1:10" x14ac:dyDescent="0.3">
      <c r="A70" s="1039" t="s">
        <v>445</v>
      </c>
      <c r="B70" s="1039"/>
      <c r="C70" s="1039"/>
      <c r="D70" s="1039"/>
      <c r="E70" s="1041">
        <v>0.45</v>
      </c>
      <c r="F70" s="1041"/>
      <c r="G70" s="1042"/>
      <c r="H70" s="1043">
        <v>0.55000000000000004</v>
      </c>
      <c r="I70" s="1043"/>
      <c r="J70" s="1043"/>
    </row>
    <row r="71" spans="1:10" x14ac:dyDescent="0.3">
      <c r="A71" s="1040"/>
      <c r="B71" s="1040"/>
      <c r="C71" s="1040"/>
      <c r="D71" s="1040"/>
      <c r="E71" s="1043"/>
      <c r="F71" s="1043"/>
      <c r="G71" s="1044"/>
      <c r="H71" s="1043"/>
      <c r="I71" s="1043"/>
      <c r="J71" s="1043"/>
    </row>
    <row r="72" spans="1:10" x14ac:dyDescent="0.3">
      <c r="A72" s="1040" t="s">
        <v>446</v>
      </c>
      <c r="B72" s="1040"/>
      <c r="C72" s="1040"/>
      <c r="D72" s="1040"/>
      <c r="E72" s="1043">
        <v>0.65</v>
      </c>
      <c r="F72" s="1043"/>
      <c r="G72" s="1044"/>
      <c r="H72" s="1043">
        <v>0.8</v>
      </c>
      <c r="I72" s="1043"/>
      <c r="J72" s="1043"/>
    </row>
    <row r="73" spans="1:10" x14ac:dyDescent="0.3">
      <c r="A73" s="1040"/>
      <c r="B73" s="1040"/>
      <c r="C73" s="1040"/>
      <c r="D73" s="1040"/>
      <c r="E73" s="1043"/>
      <c r="F73" s="1043"/>
      <c r="G73" s="1044"/>
      <c r="H73" s="1043"/>
      <c r="I73" s="1043"/>
      <c r="J73" s="1043"/>
    </row>
    <row r="74" spans="1:10" x14ac:dyDescent="0.3">
      <c r="A74" s="1034" t="s">
        <v>447</v>
      </c>
      <c r="B74" s="1034"/>
      <c r="C74" s="1034"/>
      <c r="D74" s="1034"/>
      <c r="E74" s="1034"/>
      <c r="F74" s="1034"/>
      <c r="G74" s="1034"/>
      <c r="H74" s="1034"/>
      <c r="I74" s="1034"/>
      <c r="J74" s="1034"/>
    </row>
    <row r="75" spans="1:10" ht="15" thickBot="1" x14ac:dyDescent="0.35">
      <c r="A75" s="1034"/>
      <c r="B75" s="1034"/>
      <c r="C75" s="1034"/>
      <c r="D75" s="1034"/>
      <c r="E75" s="1035"/>
      <c r="F75" s="1035"/>
      <c r="G75" s="1035"/>
      <c r="H75" s="1035"/>
      <c r="I75" s="1035"/>
      <c r="J75" s="1035"/>
    </row>
    <row r="76" spans="1:10" ht="28.5" customHeight="1" thickBot="1" x14ac:dyDescent="0.35">
      <c r="A76" s="1036" t="s">
        <v>458</v>
      </c>
      <c r="B76" s="1036"/>
      <c r="C76" s="1036"/>
      <c r="D76" s="1038"/>
      <c r="E76" s="427"/>
      <c r="F76" s="424">
        <v>0.95</v>
      </c>
      <c r="G76" s="428"/>
      <c r="H76" s="426"/>
      <c r="I76" s="412">
        <v>1.3</v>
      </c>
      <c r="J76" s="413"/>
    </row>
    <row r="77" spans="1:10" x14ac:dyDescent="0.3">
      <c r="A77" s="1040" t="s">
        <v>449</v>
      </c>
      <c r="B77" s="1040"/>
      <c r="C77" s="1040"/>
      <c r="D77" s="1040"/>
      <c r="E77" s="1041">
        <v>1.1000000000000001</v>
      </c>
      <c r="F77" s="1041"/>
      <c r="G77" s="1041"/>
      <c r="H77" s="1041">
        <v>1.4</v>
      </c>
      <c r="I77" s="1041"/>
      <c r="J77" s="1041"/>
    </row>
    <row r="78" spans="1:10" x14ac:dyDescent="0.3">
      <c r="A78" s="1040"/>
      <c r="B78" s="1040"/>
      <c r="C78" s="1040"/>
      <c r="D78" s="1040"/>
      <c r="E78" s="1043"/>
      <c r="F78" s="1043"/>
      <c r="G78" s="1043"/>
      <c r="H78" s="1043"/>
      <c r="I78" s="1043"/>
      <c r="J78" s="1043"/>
    </row>
    <row r="79" spans="1:10" x14ac:dyDescent="0.3">
      <c r="A79" s="1040" t="s">
        <v>450</v>
      </c>
      <c r="B79" s="1040"/>
      <c r="C79" s="1040"/>
      <c r="D79" s="1040"/>
      <c r="E79" s="1043">
        <v>1.1000000000000001</v>
      </c>
      <c r="F79" s="1043"/>
      <c r="G79" s="1043"/>
      <c r="H79" s="1043">
        <v>1.4</v>
      </c>
      <c r="I79" s="1043"/>
      <c r="J79" s="1043"/>
    </row>
    <row r="80" spans="1:10" x14ac:dyDescent="0.3">
      <c r="A80" s="1040"/>
      <c r="B80" s="1040"/>
      <c r="C80" s="1040"/>
      <c r="D80" s="1040"/>
      <c r="E80" s="1043"/>
      <c r="F80" s="1043"/>
      <c r="G80" s="1043"/>
      <c r="H80" s="1043"/>
      <c r="I80" s="1043"/>
      <c r="J80" s="1043"/>
    </row>
    <row r="81" spans="1:10" ht="15" customHeight="1" x14ac:dyDescent="0.3">
      <c r="A81" s="1040" t="s">
        <v>451</v>
      </c>
      <c r="B81" s="1040"/>
      <c r="C81" s="1040"/>
      <c r="D81" s="1040"/>
      <c r="E81" s="1043">
        <v>1.4</v>
      </c>
      <c r="F81" s="1043"/>
      <c r="G81" s="1043"/>
      <c r="H81" s="1043">
        <v>1.7</v>
      </c>
      <c r="I81" s="1043"/>
      <c r="J81" s="1043"/>
    </row>
    <row r="82" spans="1:10" x14ac:dyDescent="0.3">
      <c r="A82" s="1040"/>
      <c r="B82" s="1040"/>
      <c r="C82" s="1040"/>
      <c r="D82" s="1040"/>
      <c r="E82" s="1043"/>
      <c r="F82" s="1043"/>
      <c r="G82" s="1043"/>
      <c r="H82" s="1043"/>
      <c r="I82" s="1043"/>
      <c r="J82" s="1043"/>
    </row>
    <row r="83" spans="1:10" x14ac:dyDescent="0.3">
      <c r="A83" s="1040"/>
      <c r="B83" s="1040"/>
      <c r="C83" s="1040"/>
      <c r="D83" s="1040"/>
      <c r="E83" s="1043"/>
      <c r="F83" s="1043"/>
      <c r="G83" s="1043"/>
      <c r="H83" s="1043"/>
      <c r="I83" s="1043"/>
      <c r="J83" s="1043"/>
    </row>
    <row r="84" spans="1:10" ht="15" customHeight="1" x14ac:dyDescent="0.3">
      <c r="A84" s="1040" t="s">
        <v>452</v>
      </c>
      <c r="B84" s="1040"/>
      <c r="C84" s="1040"/>
      <c r="D84" s="1040"/>
      <c r="E84" s="1043">
        <v>1.6</v>
      </c>
      <c r="F84" s="1043"/>
      <c r="G84" s="1043"/>
      <c r="H84" s="1043">
        <v>1.7</v>
      </c>
      <c r="I84" s="1043"/>
      <c r="J84" s="1043"/>
    </row>
    <row r="85" spans="1:10" x14ac:dyDescent="0.3">
      <c r="A85" s="1040"/>
      <c r="B85" s="1040"/>
      <c r="C85" s="1040"/>
      <c r="D85" s="1040"/>
      <c r="E85" s="1043"/>
      <c r="F85" s="1043"/>
      <c r="G85" s="1043"/>
      <c r="H85" s="1043"/>
      <c r="I85" s="1043"/>
      <c r="J85" s="1043"/>
    </row>
    <row r="86" spans="1:10" x14ac:dyDescent="0.3">
      <c r="A86" s="1040"/>
      <c r="B86" s="1040"/>
      <c r="C86" s="1040"/>
      <c r="D86" s="1040"/>
      <c r="E86" s="1057"/>
      <c r="F86" s="1057"/>
      <c r="G86" s="1057"/>
      <c r="H86" s="1057"/>
      <c r="I86" s="1057"/>
      <c r="J86" s="1057"/>
    </row>
    <row r="87" spans="1:10" ht="45" customHeight="1" x14ac:dyDescent="0.3">
      <c r="A87" s="1068" t="s">
        <v>453</v>
      </c>
      <c r="B87" s="1069"/>
      <c r="C87" s="1069"/>
      <c r="D87" s="1069"/>
      <c r="E87" s="411"/>
      <c r="F87" s="412">
        <v>1.6</v>
      </c>
      <c r="G87" s="437"/>
      <c r="H87" s="411"/>
      <c r="I87" s="412">
        <v>1.9</v>
      </c>
      <c r="J87" s="413"/>
    </row>
    <row r="88" spans="1:10" ht="30" customHeight="1" thickBot="1" x14ac:dyDescent="0.35">
      <c r="A88" s="1036" t="s">
        <v>454</v>
      </c>
      <c r="B88" s="1036"/>
      <c r="C88" s="1036"/>
      <c r="D88" s="1038"/>
      <c r="E88" s="22"/>
      <c r="F88" s="435">
        <v>1</v>
      </c>
      <c r="G88" s="436"/>
      <c r="H88" s="438"/>
      <c r="I88" s="407">
        <v>1.1000000000000001</v>
      </c>
      <c r="J88" s="422"/>
    </row>
    <row r="89" spans="1:10" ht="30" customHeight="1" x14ac:dyDescent="0.3">
      <c r="A89" s="1058" t="s">
        <v>455</v>
      </c>
      <c r="B89" s="1059"/>
      <c r="C89" s="1059"/>
      <c r="D89" s="1060"/>
      <c r="E89" s="420"/>
      <c r="F89" s="407">
        <v>1.6</v>
      </c>
      <c r="G89" s="422"/>
      <c r="H89" s="414"/>
      <c r="I89" s="412">
        <v>1.9</v>
      </c>
      <c r="J89" s="415"/>
    </row>
    <row r="90" spans="1:10" ht="29.25" customHeight="1" x14ac:dyDescent="0.3">
      <c r="A90" s="1058" t="s">
        <v>456</v>
      </c>
      <c r="B90" s="1059"/>
      <c r="C90" s="1059"/>
      <c r="D90" s="1060"/>
      <c r="E90" s="411"/>
      <c r="F90" s="412">
        <v>1.5</v>
      </c>
      <c r="G90" s="413"/>
      <c r="H90" s="414"/>
      <c r="I90" s="412">
        <v>1.9</v>
      </c>
      <c r="J90" s="415"/>
    </row>
    <row r="91" spans="1:10" ht="29.25" customHeight="1" thickBot="1" x14ac:dyDescent="0.35">
      <c r="A91" s="1058" t="s">
        <v>457</v>
      </c>
      <c r="B91" s="1059"/>
      <c r="C91" s="1059"/>
      <c r="D91" s="1060"/>
      <c r="E91" s="417"/>
      <c r="F91" s="418">
        <v>1.3</v>
      </c>
      <c r="G91" s="419"/>
      <c r="H91" s="414"/>
      <c r="I91" s="412">
        <v>1.6</v>
      </c>
      <c r="J91" s="415"/>
    </row>
    <row r="92" spans="1:10" s="159" customFormat="1" ht="30" customHeight="1" thickBot="1" x14ac:dyDescent="0.35">
      <c r="A92" s="1038" t="s">
        <v>459</v>
      </c>
      <c r="B92" s="1061"/>
      <c r="C92" s="1061"/>
      <c r="D92" s="1061"/>
      <c r="E92" s="423"/>
      <c r="F92" s="424">
        <v>1.3</v>
      </c>
      <c r="G92" s="425"/>
      <c r="H92" s="409"/>
      <c r="I92" s="412">
        <v>1.6</v>
      </c>
      <c r="J92" s="410"/>
    </row>
    <row r="93" spans="1:10" ht="30.75" customHeight="1" x14ac:dyDescent="0.3">
      <c r="A93" s="1058" t="s">
        <v>460</v>
      </c>
      <c r="B93" s="1059"/>
      <c r="C93" s="1059"/>
      <c r="D93" s="1060"/>
      <c r="E93" s="420"/>
      <c r="F93" s="421">
        <v>1</v>
      </c>
      <c r="G93" s="422"/>
      <c r="H93" s="414"/>
      <c r="I93" s="412">
        <v>2</v>
      </c>
      <c r="J93" s="415"/>
    </row>
    <row r="94" spans="1:10" ht="15" customHeight="1" x14ac:dyDescent="0.3">
      <c r="A94" s="958" t="s">
        <v>461</v>
      </c>
      <c r="B94" s="988"/>
      <c r="C94" s="988"/>
      <c r="D94" s="988"/>
      <c r="E94" s="988"/>
      <c r="F94" s="988"/>
      <c r="G94" s="988"/>
      <c r="H94" s="988"/>
      <c r="I94" s="988"/>
      <c r="J94" s="1065"/>
    </row>
    <row r="95" spans="1:10" ht="15" thickBot="1" x14ac:dyDescent="0.35">
      <c r="A95" s="959"/>
      <c r="B95" s="1066"/>
      <c r="C95" s="1066"/>
      <c r="D95" s="1066"/>
      <c r="E95" s="937"/>
      <c r="F95" s="937"/>
      <c r="G95" s="937"/>
      <c r="H95" s="1066"/>
      <c r="I95" s="1066"/>
      <c r="J95" s="1067"/>
    </row>
    <row r="96" spans="1:10" ht="30" customHeight="1" thickBot="1" x14ac:dyDescent="0.35">
      <c r="A96" s="812" t="s">
        <v>462</v>
      </c>
      <c r="B96" s="812"/>
      <c r="C96" s="812"/>
      <c r="D96" s="812"/>
      <c r="E96" s="427"/>
      <c r="F96" s="424">
        <v>0.14000000000000001</v>
      </c>
      <c r="G96" s="433"/>
      <c r="H96" s="426"/>
      <c r="I96" s="412">
        <v>0.25</v>
      </c>
      <c r="J96" s="415"/>
    </row>
    <row r="97" spans="1:10" ht="30" customHeight="1" thickBot="1" x14ac:dyDescent="0.35">
      <c r="A97" s="1058" t="s">
        <v>463</v>
      </c>
      <c r="B97" s="1059"/>
      <c r="C97" s="1059"/>
      <c r="D97" s="1060"/>
      <c r="E97" s="441"/>
      <c r="F97" s="416">
        <v>0.2</v>
      </c>
      <c r="G97" s="442"/>
      <c r="H97" s="411"/>
      <c r="I97" s="412">
        <v>0.25</v>
      </c>
      <c r="J97" s="415"/>
    </row>
    <row r="98" spans="1:10" ht="43.5" customHeight="1" thickBot="1" x14ac:dyDescent="0.35">
      <c r="A98" s="1070" t="s">
        <v>464</v>
      </c>
      <c r="B98" s="1071"/>
      <c r="C98" s="1071"/>
      <c r="D98" s="1071"/>
      <c r="E98" s="427"/>
      <c r="F98" s="424">
        <v>0.14000000000000001</v>
      </c>
      <c r="G98" s="433"/>
      <c r="H98" s="426"/>
      <c r="I98" s="412">
        <v>0.25</v>
      </c>
      <c r="J98" s="415"/>
    </row>
    <row r="99" spans="1:10" ht="30" customHeight="1" x14ac:dyDescent="0.3">
      <c r="A99" s="1058" t="s">
        <v>465</v>
      </c>
      <c r="B99" s="1059"/>
      <c r="C99" s="1059"/>
      <c r="D99" s="1060"/>
      <c r="E99" s="420"/>
      <c r="F99" s="407">
        <v>0.14000000000000001</v>
      </c>
      <c r="G99" s="434"/>
      <c r="H99" s="411"/>
      <c r="I99" s="412">
        <v>0.2</v>
      </c>
      <c r="J99" s="415"/>
    </row>
    <row r="100" spans="1:10" ht="73.5" customHeight="1" x14ac:dyDescent="0.3">
      <c r="A100" s="1040" t="s">
        <v>466</v>
      </c>
      <c r="B100" s="1040"/>
      <c r="C100" s="1040"/>
      <c r="D100" s="1040"/>
      <c r="E100" s="1043" t="s">
        <v>444</v>
      </c>
      <c r="F100" s="1043"/>
      <c r="G100" s="1043"/>
      <c r="H100" s="1043" t="s">
        <v>444</v>
      </c>
      <c r="I100" s="1043"/>
      <c r="J100" s="1043"/>
    </row>
    <row r="101" spans="1:10" ht="30" customHeight="1" thickBot="1" x14ac:dyDescent="0.35">
      <c r="A101" s="1064" t="s">
        <v>467</v>
      </c>
      <c r="B101" s="1064"/>
      <c r="C101" s="1064"/>
      <c r="D101" s="1064"/>
      <c r="E101" s="417"/>
      <c r="F101" s="418">
        <v>0.25</v>
      </c>
      <c r="G101" s="439"/>
      <c r="H101" s="408"/>
      <c r="I101" s="412">
        <v>0.25</v>
      </c>
      <c r="J101" s="429"/>
    </row>
    <row r="102" spans="1:10" ht="30.75" customHeight="1" thickBot="1" x14ac:dyDescent="0.35">
      <c r="A102" s="1036" t="s">
        <v>468</v>
      </c>
      <c r="B102" s="1036"/>
      <c r="C102" s="1036"/>
      <c r="D102" s="1038"/>
      <c r="E102" s="427"/>
      <c r="F102" s="424">
        <v>0.25</v>
      </c>
      <c r="G102" s="440"/>
      <c r="H102" s="412"/>
      <c r="I102" s="412">
        <v>0.25</v>
      </c>
      <c r="J102" s="429"/>
    </row>
    <row r="103" spans="1:10" ht="30.75" customHeight="1" thickBot="1" x14ac:dyDescent="0.35">
      <c r="A103" s="1064" t="s">
        <v>469</v>
      </c>
      <c r="B103" s="1064"/>
      <c r="C103" s="1064"/>
      <c r="D103" s="1064"/>
      <c r="E103" s="441"/>
      <c r="F103" s="443">
        <v>0.2</v>
      </c>
      <c r="G103" s="430"/>
      <c r="H103" s="408"/>
      <c r="I103" s="412">
        <v>0.25</v>
      </c>
      <c r="J103" s="429"/>
    </row>
    <row r="104" spans="1:10" ht="30" customHeight="1" thickBot="1" x14ac:dyDescent="0.35">
      <c r="A104" s="1036" t="s">
        <v>470</v>
      </c>
      <c r="B104" s="1036"/>
      <c r="C104" s="1036"/>
      <c r="D104" s="1038"/>
      <c r="E104" s="444"/>
      <c r="F104" s="424">
        <v>0.25</v>
      </c>
      <c r="G104" s="440"/>
      <c r="H104" s="412"/>
      <c r="I104" s="412">
        <v>0.25</v>
      </c>
      <c r="J104" s="429"/>
    </row>
    <row r="105" spans="1:10" ht="31.5" customHeight="1" x14ac:dyDescent="0.3">
      <c r="A105" s="1040" t="s">
        <v>471</v>
      </c>
      <c r="B105" s="1040"/>
      <c r="C105" s="1040"/>
      <c r="D105" s="1040"/>
      <c r="E105" s="420"/>
      <c r="F105" s="407">
        <v>0.35</v>
      </c>
      <c r="G105" s="434"/>
      <c r="H105" s="408"/>
      <c r="I105" s="412">
        <v>0.35</v>
      </c>
      <c r="J105" s="429"/>
    </row>
  </sheetData>
  <mergeCells count="80">
    <mergeCell ref="M3:N3"/>
    <mergeCell ref="M9:N10"/>
    <mergeCell ref="A103:D103"/>
    <mergeCell ref="A104:D104"/>
    <mergeCell ref="A105:D105"/>
    <mergeCell ref="A100:D100"/>
    <mergeCell ref="E100:G100"/>
    <mergeCell ref="H100:J100"/>
    <mergeCell ref="A101:D101"/>
    <mergeCell ref="A102:D102"/>
    <mergeCell ref="A94:J95"/>
    <mergeCell ref="A96:D96"/>
    <mergeCell ref="A97:D97"/>
    <mergeCell ref="A87:D87"/>
    <mergeCell ref="A98:D98"/>
    <mergeCell ref="A99:D99"/>
    <mergeCell ref="A89:D89"/>
    <mergeCell ref="A90:D90"/>
    <mergeCell ref="A91:D91"/>
    <mergeCell ref="A92:D92"/>
    <mergeCell ref="A93:D93"/>
    <mergeCell ref="A88:D88"/>
    <mergeCell ref="A84:D86"/>
    <mergeCell ref="E84:G86"/>
    <mergeCell ref="H84:J86"/>
    <mergeCell ref="A79:D80"/>
    <mergeCell ref="A81:D83"/>
    <mergeCell ref="E81:G83"/>
    <mergeCell ref="H81:J83"/>
    <mergeCell ref="A77:D78"/>
    <mergeCell ref="E77:G78"/>
    <mergeCell ref="H77:J78"/>
    <mergeCell ref="E79:G80"/>
    <mergeCell ref="H79:J80"/>
    <mergeCell ref="A74:J75"/>
    <mergeCell ref="A65:J66"/>
    <mergeCell ref="A76:D76"/>
    <mergeCell ref="A70:D71"/>
    <mergeCell ref="E70:G71"/>
    <mergeCell ref="H70:J71"/>
    <mergeCell ref="A72:D73"/>
    <mergeCell ref="E72:G73"/>
    <mergeCell ref="H72:J73"/>
    <mergeCell ref="H67:J67"/>
    <mergeCell ref="A68:D69"/>
    <mergeCell ref="E68:G69"/>
    <mergeCell ref="H68:J69"/>
    <mergeCell ref="A55:L55"/>
    <mergeCell ref="E59:J61"/>
    <mergeCell ref="E62:G64"/>
    <mergeCell ref="H62:J64"/>
    <mergeCell ref="A59:D64"/>
    <mergeCell ref="A1:L1"/>
    <mergeCell ref="A5:K5"/>
    <mergeCell ref="C50:D50"/>
    <mergeCell ref="E50:F50"/>
    <mergeCell ref="G50:H50"/>
    <mergeCell ref="A50:B50"/>
    <mergeCell ref="I35:I37"/>
    <mergeCell ref="H35:H37"/>
    <mergeCell ref="G35:G37"/>
    <mergeCell ref="A38:A45"/>
    <mergeCell ref="B34:E37"/>
    <mergeCell ref="A34:A37"/>
    <mergeCell ref="G34:K34"/>
    <mergeCell ref="F34:F37"/>
    <mergeCell ref="A24:A25"/>
    <mergeCell ref="A27:A29"/>
    <mergeCell ref="J35:J37"/>
    <mergeCell ref="K35:K37"/>
    <mergeCell ref="A6:A8"/>
    <mergeCell ref="B6:B8"/>
    <mergeCell ref="C31:K31"/>
    <mergeCell ref="C32:K32"/>
    <mergeCell ref="A31:A32"/>
    <mergeCell ref="C6:K6"/>
    <mergeCell ref="C8:K8"/>
    <mergeCell ref="A9:A10"/>
    <mergeCell ref="A12:A13"/>
    <mergeCell ref="A15:A2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814-EC3E-4516-8BA6-FFD57D3222DF}">
  <dimension ref="A1:N83"/>
  <sheetViews>
    <sheetView zoomScaleNormal="100" workbookViewId="0">
      <selection sqref="A1:L1"/>
    </sheetView>
  </sheetViews>
  <sheetFormatPr baseColWidth="10" defaultRowHeight="14.4" x14ac:dyDescent="0.3"/>
  <cols>
    <col min="2" max="2" width="31.33203125" customWidth="1"/>
    <col min="3" max="4" width="29" customWidth="1"/>
    <col min="5" max="7" width="22.5546875" customWidth="1"/>
    <col min="8" max="8" width="28.44140625" customWidth="1"/>
    <col min="9" max="9" width="4.6640625" customWidth="1"/>
    <col min="10" max="10" width="25" customWidth="1"/>
    <col min="11" max="11" width="6.5546875" customWidth="1"/>
    <col min="12" max="12" width="28.6640625" customWidth="1"/>
    <col min="13" max="13" width="4.5546875" customWidth="1"/>
    <col min="14" max="14" width="28.5546875" customWidth="1"/>
    <col min="15" max="15" width="23.44140625" customWidth="1"/>
    <col min="16" max="16" width="22.88671875" customWidth="1"/>
  </cols>
  <sheetData>
    <row r="1" spans="1:14" ht="15.75" customHeight="1" x14ac:dyDescent="0.3">
      <c r="A1" s="1156" t="s">
        <v>253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  <c r="L1" s="1156"/>
      <c r="M1" s="247"/>
    </row>
    <row r="2" spans="1:14" ht="15.75" customHeight="1" thickBot="1" x14ac:dyDescent="0.35">
      <c r="J2" s="247"/>
      <c r="K2" s="247"/>
      <c r="L2" s="247"/>
      <c r="M2" s="247"/>
    </row>
    <row r="3" spans="1:14" ht="15.6" x14ac:dyDescent="0.3">
      <c r="B3" s="590" t="s">
        <v>163</v>
      </c>
      <c r="C3" s="874" t="s">
        <v>42</v>
      </c>
      <c r="D3" s="875"/>
      <c r="E3" s="875"/>
      <c r="F3" s="875"/>
      <c r="G3" s="875"/>
      <c r="H3" s="875"/>
      <c r="I3" s="1115" t="s">
        <v>226</v>
      </c>
      <c r="J3" s="1112" t="s">
        <v>575</v>
      </c>
      <c r="K3" s="790" t="s">
        <v>605</v>
      </c>
      <c r="L3" s="1113" t="s">
        <v>576</v>
      </c>
      <c r="M3" s="1160"/>
    </row>
    <row r="4" spans="1:14" x14ac:dyDescent="0.3">
      <c r="B4" s="19"/>
      <c r="C4" s="1091"/>
      <c r="D4" s="1021" t="s">
        <v>589</v>
      </c>
      <c r="E4" s="1021" t="s">
        <v>165</v>
      </c>
      <c r="F4" s="1009" t="s">
        <v>694</v>
      </c>
      <c r="G4" s="1009" t="s">
        <v>695</v>
      </c>
      <c r="H4" s="1025" t="s">
        <v>696</v>
      </c>
      <c r="I4" s="1116"/>
      <c r="J4" s="845"/>
      <c r="K4" s="791"/>
      <c r="L4" s="1114"/>
      <c r="M4" s="1161"/>
    </row>
    <row r="5" spans="1:14" ht="16.2" thickBot="1" x14ac:dyDescent="0.35">
      <c r="B5" s="19"/>
      <c r="C5" s="1092"/>
      <c r="D5" s="1090"/>
      <c r="E5" s="1090"/>
      <c r="F5" s="1090"/>
      <c r="G5" s="1090"/>
      <c r="H5" s="1120"/>
      <c r="I5" s="1116"/>
      <c r="J5" s="542" t="s">
        <v>612</v>
      </c>
      <c r="K5" s="791"/>
      <c r="L5" s="79" t="s">
        <v>612</v>
      </c>
      <c r="M5" s="1161"/>
    </row>
    <row r="6" spans="1:14" x14ac:dyDescent="0.3">
      <c r="B6" s="19"/>
      <c r="C6" s="1101" t="s">
        <v>164</v>
      </c>
      <c r="D6" s="1096" t="s">
        <v>588</v>
      </c>
      <c r="E6" s="564" t="s">
        <v>166</v>
      </c>
      <c r="F6" s="565">
        <v>1.47</v>
      </c>
      <c r="G6" s="565">
        <v>1.36</v>
      </c>
      <c r="H6" s="565">
        <v>1.28</v>
      </c>
      <c r="I6" s="1116"/>
      <c r="J6" s="548">
        <f>F33+F43</f>
        <v>1.1279999999999999</v>
      </c>
      <c r="K6" s="791"/>
      <c r="L6" s="154">
        <f>N33+M44</f>
        <v>1.1279999999999999</v>
      </c>
      <c r="M6" s="1161"/>
    </row>
    <row r="7" spans="1:14" ht="15" customHeight="1" x14ac:dyDescent="0.3">
      <c r="B7" s="19"/>
      <c r="C7" s="1102"/>
      <c r="D7" s="1097"/>
      <c r="E7" s="533" t="s">
        <v>167</v>
      </c>
      <c r="F7" s="119">
        <v>1.34</v>
      </c>
      <c r="G7" s="119">
        <v>1.26</v>
      </c>
      <c r="H7" s="119">
        <v>1.19</v>
      </c>
      <c r="I7" s="1116"/>
      <c r="J7" s="552">
        <f>F35+F43</f>
        <v>1.1039999999999999</v>
      </c>
      <c r="K7" s="791"/>
      <c r="L7" s="123">
        <f>N35+M44</f>
        <v>1.1039999999999999</v>
      </c>
      <c r="M7" s="1161"/>
    </row>
    <row r="8" spans="1:14" ht="15" customHeight="1" thickBot="1" x14ac:dyDescent="0.35">
      <c r="B8" s="19"/>
      <c r="C8" s="1103"/>
      <c r="D8" s="1098"/>
      <c r="E8" s="534" t="s">
        <v>168</v>
      </c>
      <c r="F8" s="325">
        <v>1.33</v>
      </c>
      <c r="G8" s="325">
        <v>1.23</v>
      </c>
      <c r="H8" s="325">
        <v>1.1599999999999999</v>
      </c>
      <c r="I8" s="1116"/>
      <c r="J8" s="585">
        <f>F36+F43</f>
        <v>1.0629999999999999</v>
      </c>
      <c r="K8" s="791"/>
      <c r="L8" s="580">
        <f>N36+M44</f>
        <v>1.0629999999999999</v>
      </c>
      <c r="M8" s="1161"/>
    </row>
    <row r="9" spans="1:14" ht="15" customHeight="1" x14ac:dyDescent="0.3">
      <c r="B9" s="19"/>
      <c r="C9" s="1093" t="s">
        <v>169</v>
      </c>
      <c r="D9" s="1096" t="s">
        <v>588</v>
      </c>
      <c r="E9" s="564" t="s">
        <v>166</v>
      </c>
      <c r="F9" s="565">
        <v>1.24</v>
      </c>
      <c r="G9" s="565">
        <v>1.21</v>
      </c>
      <c r="H9" s="565">
        <v>1.18</v>
      </c>
      <c r="I9" s="1116"/>
      <c r="J9" s="548">
        <f>F35+F43</f>
        <v>1.1039999999999999</v>
      </c>
      <c r="K9" s="791"/>
      <c r="L9" s="154">
        <f>N35+M44</f>
        <v>1.1039999999999999</v>
      </c>
      <c r="M9" s="1161"/>
    </row>
    <row r="10" spans="1:14" ht="15" customHeight="1" x14ac:dyDescent="0.3">
      <c r="B10" s="19"/>
      <c r="C10" s="1094"/>
      <c r="D10" s="1097"/>
      <c r="E10" s="533" t="s">
        <v>590</v>
      </c>
      <c r="F10" s="119">
        <v>1.19</v>
      </c>
      <c r="G10" s="119">
        <v>1.1499999999999999</v>
      </c>
      <c r="H10" s="119">
        <v>1.1299999999999999</v>
      </c>
      <c r="I10" s="1116"/>
      <c r="J10" s="552">
        <f>F36+F43</f>
        <v>1.0629999999999999</v>
      </c>
      <c r="K10" s="791"/>
      <c r="L10" s="123">
        <f>N36+M44</f>
        <v>1.0629999999999999</v>
      </c>
      <c r="M10" s="1161"/>
    </row>
    <row r="11" spans="1:14" ht="15" customHeight="1" thickBot="1" x14ac:dyDescent="0.35">
      <c r="B11" s="19"/>
      <c r="C11" s="1095"/>
      <c r="D11" s="1098"/>
      <c r="E11" s="534" t="s">
        <v>168</v>
      </c>
      <c r="F11" s="325">
        <v>1.1399999999999999</v>
      </c>
      <c r="G11" s="325">
        <v>1.1100000000000001</v>
      </c>
      <c r="H11" s="325">
        <v>1.0900000000000001</v>
      </c>
      <c r="I11" s="1116"/>
      <c r="J11" s="585">
        <f>F37+F43</f>
        <v>1.0629999999999999</v>
      </c>
      <c r="K11" s="791"/>
      <c r="L11" s="580">
        <f>N37+M44</f>
        <v>1.0629999999999999</v>
      </c>
      <c r="M11" s="1161"/>
    </row>
    <row r="12" spans="1:14" x14ac:dyDescent="0.3">
      <c r="B12" s="19"/>
      <c r="C12" s="1105" t="s">
        <v>24</v>
      </c>
      <c r="D12" s="1099" t="s">
        <v>588</v>
      </c>
      <c r="E12" s="567" t="s">
        <v>166</v>
      </c>
      <c r="F12" s="568">
        <v>1.1100000000000001</v>
      </c>
      <c r="G12" s="568">
        <v>1.0900000000000001</v>
      </c>
      <c r="H12" s="565">
        <v>1.07</v>
      </c>
      <c r="I12" s="1116"/>
      <c r="J12" s="548">
        <f>F35+F43</f>
        <v>1.1039999999999999</v>
      </c>
      <c r="K12" s="791"/>
      <c r="L12" s="154">
        <f>N35+M44</f>
        <v>1.1039999999999999</v>
      </c>
      <c r="M12" s="1161"/>
    </row>
    <row r="13" spans="1:14" x14ac:dyDescent="0.3">
      <c r="B13" s="19"/>
      <c r="C13" s="1106"/>
      <c r="D13" s="1100"/>
      <c r="E13" s="566" t="s">
        <v>590</v>
      </c>
      <c r="F13" s="537">
        <v>1.0900000000000001</v>
      </c>
      <c r="G13" s="537">
        <v>1.06</v>
      </c>
      <c r="H13" s="326">
        <v>1.04</v>
      </c>
      <c r="I13" s="1116"/>
      <c r="J13" s="552">
        <f>F36+F43</f>
        <v>1.0629999999999999</v>
      </c>
      <c r="K13" s="791"/>
      <c r="L13" s="123">
        <f>N36+M44</f>
        <v>1.0629999999999999</v>
      </c>
      <c r="M13" s="1161"/>
    </row>
    <row r="14" spans="1:14" x14ac:dyDescent="0.3">
      <c r="B14" s="19"/>
      <c r="C14" s="1106"/>
      <c r="D14" s="1100"/>
      <c r="E14" s="596" t="s">
        <v>168</v>
      </c>
      <c r="F14" s="597">
        <v>1.07</v>
      </c>
      <c r="G14" s="597">
        <v>1.05</v>
      </c>
      <c r="H14" s="598">
        <v>1.04</v>
      </c>
      <c r="I14" s="1116"/>
      <c r="J14" s="552">
        <f>F36+F43</f>
        <v>1.0629999999999999</v>
      </c>
      <c r="K14" s="791"/>
      <c r="L14" s="595">
        <f>N36+M44</f>
        <v>1.0629999999999999</v>
      </c>
      <c r="M14" s="1161"/>
      <c r="N14" s="599" t="s">
        <v>614</v>
      </c>
    </row>
    <row r="15" spans="1:14" ht="15" thickBot="1" x14ac:dyDescent="0.35">
      <c r="B15" s="19"/>
      <c r="C15" s="507" t="s">
        <v>591</v>
      </c>
      <c r="D15" s="380" t="s">
        <v>592</v>
      </c>
      <c r="E15" s="569" t="s">
        <v>593</v>
      </c>
      <c r="F15" s="570">
        <v>0.99</v>
      </c>
      <c r="G15" s="570">
        <v>0.98</v>
      </c>
      <c r="H15" s="133">
        <v>0.97</v>
      </c>
      <c r="I15" s="1116"/>
      <c r="J15" s="585">
        <f>F37+F43</f>
        <v>1.0629999999999999</v>
      </c>
      <c r="K15" s="791"/>
      <c r="L15" s="580">
        <f>N37+M45</f>
        <v>1.0569999999999999</v>
      </c>
      <c r="M15" s="1161"/>
    </row>
    <row r="16" spans="1:14" ht="15" thickBot="1" x14ac:dyDescent="0.35">
      <c r="B16" s="19"/>
      <c r="C16" s="571" t="s">
        <v>316</v>
      </c>
      <c r="D16" s="572" t="s">
        <v>594</v>
      </c>
      <c r="E16" s="573" t="s">
        <v>594</v>
      </c>
      <c r="F16" s="574">
        <v>1.02</v>
      </c>
      <c r="G16" s="574">
        <v>1.02</v>
      </c>
      <c r="H16" s="577">
        <v>1.02</v>
      </c>
      <c r="I16" s="1116"/>
      <c r="J16" s="546">
        <f>F37+F43</f>
        <v>1.0629999999999999</v>
      </c>
      <c r="K16" s="791"/>
      <c r="L16" s="433">
        <f>N37+M45</f>
        <v>1.0569999999999999</v>
      </c>
      <c r="M16" s="1161"/>
    </row>
    <row r="17" spans="2:14" ht="15" customHeight="1" x14ac:dyDescent="0.3">
      <c r="B17" s="19"/>
      <c r="C17" s="1093" t="s">
        <v>598</v>
      </c>
      <c r="D17" s="1099" t="s">
        <v>592</v>
      </c>
      <c r="E17" s="564" t="s">
        <v>595</v>
      </c>
      <c r="F17" s="565">
        <v>0.45</v>
      </c>
      <c r="G17" s="565">
        <v>0.45</v>
      </c>
      <c r="H17" s="565">
        <v>0.45</v>
      </c>
      <c r="I17" s="1116"/>
      <c r="J17" s="548">
        <f>F36+F43</f>
        <v>1.0629999999999999</v>
      </c>
      <c r="K17" s="791"/>
      <c r="L17" s="154">
        <f>N36+M45</f>
        <v>1.0569999999999999</v>
      </c>
      <c r="M17" s="1161"/>
    </row>
    <row r="18" spans="2:14" x14ac:dyDescent="0.3">
      <c r="B18" s="19"/>
      <c r="C18" s="1094"/>
      <c r="D18" s="1107"/>
      <c r="E18" s="533" t="s">
        <v>168</v>
      </c>
      <c r="F18" s="119">
        <v>0.43</v>
      </c>
      <c r="G18" s="119">
        <v>0.43</v>
      </c>
      <c r="H18" s="119">
        <v>0.43</v>
      </c>
      <c r="I18" s="1116"/>
      <c r="J18" s="586">
        <f>F38+F43</f>
        <v>1.0509999999999999</v>
      </c>
      <c r="K18" s="791"/>
      <c r="L18" s="581">
        <f>N38+M45</f>
        <v>1.0449999999999999</v>
      </c>
      <c r="M18" s="1161"/>
    </row>
    <row r="19" spans="2:14" x14ac:dyDescent="0.3">
      <c r="B19" s="19"/>
      <c r="C19" s="1094"/>
      <c r="D19" s="1108" t="s">
        <v>596</v>
      </c>
      <c r="E19" s="533" t="s">
        <v>595</v>
      </c>
      <c r="F19" s="119">
        <v>0.4</v>
      </c>
      <c r="G19" s="119">
        <v>0.4</v>
      </c>
      <c r="H19" s="119">
        <v>0.4</v>
      </c>
      <c r="I19" s="1116"/>
      <c r="J19" s="552">
        <f>F37+F43</f>
        <v>1.0629999999999999</v>
      </c>
      <c r="K19" s="791"/>
      <c r="L19" s="123">
        <f>N37+M46</f>
        <v>1.054</v>
      </c>
      <c r="M19" s="1161"/>
    </row>
    <row r="20" spans="2:14" ht="15" thickBot="1" x14ac:dyDescent="0.35">
      <c r="B20" s="19"/>
      <c r="C20" s="1095"/>
      <c r="D20" s="1109"/>
      <c r="E20" s="534" t="s">
        <v>168</v>
      </c>
      <c r="F20" s="325">
        <v>0.38</v>
      </c>
      <c r="G20" s="325">
        <v>0.38</v>
      </c>
      <c r="H20" s="325">
        <v>0.38</v>
      </c>
      <c r="I20" s="1116"/>
      <c r="J20" s="587">
        <f>F38+F43</f>
        <v>1.0509999999999999</v>
      </c>
      <c r="K20" s="791"/>
      <c r="L20" s="582">
        <f>N38+M46</f>
        <v>1.042</v>
      </c>
      <c r="M20" s="1161"/>
    </row>
    <row r="21" spans="2:14" x14ac:dyDescent="0.3">
      <c r="B21" s="19"/>
      <c r="C21" s="1101" t="s">
        <v>597</v>
      </c>
      <c r="D21" s="1099" t="s">
        <v>592</v>
      </c>
      <c r="E21" s="564" t="s">
        <v>595</v>
      </c>
      <c r="F21" s="565">
        <v>0.36</v>
      </c>
      <c r="G21" s="565">
        <v>0.36</v>
      </c>
      <c r="H21" s="565">
        <v>0.36</v>
      </c>
      <c r="I21" s="1116"/>
      <c r="J21" s="548">
        <f>F36+F43</f>
        <v>1.0629999999999999</v>
      </c>
      <c r="K21" s="791"/>
      <c r="L21" s="154">
        <f>N36+M45</f>
        <v>1.0569999999999999</v>
      </c>
      <c r="M21" s="1161"/>
    </row>
    <row r="22" spans="2:14" x14ac:dyDescent="0.3">
      <c r="B22" s="19"/>
      <c r="C22" s="1094"/>
      <c r="D22" s="1100"/>
      <c r="E22" s="533" t="s">
        <v>168</v>
      </c>
      <c r="F22" s="398">
        <v>0.3</v>
      </c>
      <c r="G22" s="398">
        <v>0.3</v>
      </c>
      <c r="H22" s="398">
        <v>0.3</v>
      </c>
      <c r="I22" s="1116"/>
      <c r="J22" s="586">
        <f>F38+F43</f>
        <v>1.0509999999999999</v>
      </c>
      <c r="K22" s="791"/>
      <c r="L22" s="581">
        <f>N38+M45</f>
        <v>1.0449999999999999</v>
      </c>
      <c r="M22" s="1161"/>
    </row>
    <row r="23" spans="2:14" x14ac:dyDescent="0.3">
      <c r="B23" s="19"/>
      <c r="C23" s="1094"/>
      <c r="D23" s="1108" t="s">
        <v>596</v>
      </c>
      <c r="E23" s="7" t="s">
        <v>595</v>
      </c>
      <c r="F23" s="51">
        <v>0.32</v>
      </c>
      <c r="G23" s="51">
        <v>0.32</v>
      </c>
      <c r="H23" s="51">
        <v>0.32</v>
      </c>
      <c r="I23" s="1116"/>
      <c r="J23" s="552">
        <f>F37+F43</f>
        <v>1.0629999999999999</v>
      </c>
      <c r="K23" s="791"/>
      <c r="L23" s="123">
        <f>N36+M46</f>
        <v>1.054</v>
      </c>
      <c r="M23" s="1161"/>
    </row>
    <row r="24" spans="2:14" ht="15" thickBot="1" x14ac:dyDescent="0.35">
      <c r="B24" s="22"/>
      <c r="C24" s="1104"/>
      <c r="D24" s="1109"/>
      <c r="E24" s="534" t="s">
        <v>168</v>
      </c>
      <c r="F24" s="325">
        <v>0.27</v>
      </c>
      <c r="G24" s="325">
        <v>0.27</v>
      </c>
      <c r="H24" s="325">
        <v>0.27</v>
      </c>
      <c r="I24" s="1116"/>
      <c r="J24" s="588">
        <f>F38+F43</f>
        <v>1.0509999999999999</v>
      </c>
      <c r="K24" s="791"/>
      <c r="L24" s="583">
        <f>N38+M46</f>
        <v>1.042</v>
      </c>
      <c r="M24" s="1161"/>
    </row>
    <row r="25" spans="2:14" ht="15" thickBot="1" x14ac:dyDescent="0.35">
      <c r="C25" s="571" t="s">
        <v>599</v>
      </c>
      <c r="D25" s="538"/>
      <c r="E25" s="575" t="s">
        <v>594</v>
      </c>
      <c r="F25" s="576">
        <v>1.4</v>
      </c>
      <c r="G25" s="576">
        <v>1.4</v>
      </c>
      <c r="H25" s="578" t="s">
        <v>170</v>
      </c>
      <c r="I25" s="1116"/>
      <c r="J25" s="589" t="s">
        <v>170</v>
      </c>
      <c r="K25" s="791"/>
      <c r="L25" s="584" t="s">
        <v>170</v>
      </c>
      <c r="M25" s="1161"/>
    </row>
    <row r="26" spans="2:14" ht="15" thickBot="1" x14ac:dyDescent="0.35">
      <c r="C26" s="571" t="s">
        <v>600</v>
      </c>
      <c r="D26" s="538"/>
      <c r="E26" s="575" t="s">
        <v>594</v>
      </c>
      <c r="F26" s="577">
        <v>1.47</v>
      </c>
      <c r="G26" s="577">
        <v>1.47</v>
      </c>
      <c r="H26" s="574" t="s">
        <v>170</v>
      </c>
      <c r="I26" s="1116"/>
      <c r="J26" s="589" t="s">
        <v>170</v>
      </c>
      <c r="K26" s="791"/>
      <c r="L26" s="584" t="s">
        <v>170</v>
      </c>
      <c r="M26" s="1161"/>
    </row>
    <row r="27" spans="2:14" ht="15" thickBot="1" x14ac:dyDescent="0.35">
      <c r="C27" s="507" t="s">
        <v>601</v>
      </c>
      <c r="D27" s="23"/>
      <c r="E27" s="579" t="s">
        <v>594</v>
      </c>
      <c r="F27" s="133">
        <v>1.02</v>
      </c>
      <c r="G27" s="133">
        <v>1.02</v>
      </c>
      <c r="H27" s="218" t="s">
        <v>170</v>
      </c>
      <c r="I27" s="1117"/>
      <c r="J27" s="589" t="s">
        <v>170</v>
      </c>
      <c r="K27" s="792"/>
      <c r="L27" s="584" t="s">
        <v>170</v>
      </c>
      <c r="M27" s="1162"/>
    </row>
    <row r="29" spans="2:14" ht="15" thickBot="1" x14ac:dyDescent="0.35"/>
    <row r="30" spans="2:14" ht="15.6" x14ac:dyDescent="0.3">
      <c r="B30" s="1087" t="s">
        <v>172</v>
      </c>
      <c r="C30" s="1088"/>
      <c r="D30" s="1088"/>
      <c r="E30" s="1088"/>
      <c r="F30" s="1089"/>
      <c r="G30" s="560"/>
      <c r="H30" s="921" t="s">
        <v>195</v>
      </c>
      <c r="I30" s="923"/>
      <c r="J30" s="923"/>
      <c r="K30" s="923"/>
      <c r="L30" s="923"/>
      <c r="M30" s="923"/>
      <c r="N30" s="922"/>
    </row>
    <row r="31" spans="2:14" ht="15.6" x14ac:dyDescent="0.35">
      <c r="B31" s="1110" t="s">
        <v>171</v>
      </c>
      <c r="C31" s="1111"/>
      <c r="D31" s="1111"/>
      <c r="E31" s="1111"/>
      <c r="F31" s="720" t="s">
        <v>173</v>
      </c>
      <c r="G31" s="561"/>
      <c r="H31" s="1110" t="s">
        <v>171</v>
      </c>
      <c r="I31" s="1124"/>
      <c r="J31" s="1111"/>
      <c r="K31" s="1111"/>
      <c r="L31" s="121"/>
      <c r="M31" s="1013" t="s">
        <v>173</v>
      </c>
      <c r="N31" s="1125"/>
    </row>
    <row r="32" spans="2:14" x14ac:dyDescent="0.3">
      <c r="B32" s="1118" t="s">
        <v>180</v>
      </c>
      <c r="C32" s="1020" t="s">
        <v>174</v>
      </c>
      <c r="D32" s="1020"/>
      <c r="E32" s="1020"/>
      <c r="F32" s="720">
        <v>1.149</v>
      </c>
      <c r="G32" s="246"/>
      <c r="H32" s="1118" t="s">
        <v>180</v>
      </c>
      <c r="I32" s="1036" t="s">
        <v>174</v>
      </c>
      <c r="J32" s="1036"/>
      <c r="K32" s="1036"/>
      <c r="L32" s="1036"/>
      <c r="N32" s="563">
        <v>1.149</v>
      </c>
    </row>
    <row r="33" spans="2:14" x14ac:dyDescent="0.3">
      <c r="B33" s="1118"/>
      <c r="C33" s="1020" t="s">
        <v>175</v>
      </c>
      <c r="D33" s="1020"/>
      <c r="E33" s="1020"/>
      <c r="F33" s="720">
        <v>1.107</v>
      </c>
      <c r="G33" s="246"/>
      <c r="H33" s="1118"/>
      <c r="I33" s="1036" t="s">
        <v>175</v>
      </c>
      <c r="J33" s="1036"/>
      <c r="K33" s="1036"/>
      <c r="L33" s="1036"/>
      <c r="N33" s="563">
        <v>1.107</v>
      </c>
    </row>
    <row r="34" spans="2:14" x14ac:dyDescent="0.3">
      <c r="B34" s="1118"/>
      <c r="C34" s="1017" t="s">
        <v>176</v>
      </c>
      <c r="D34" s="1018"/>
      <c r="E34" s="1019"/>
      <c r="F34" s="720">
        <v>1.095</v>
      </c>
      <c r="G34" s="246"/>
      <c r="H34" s="1118"/>
      <c r="I34" s="1036" t="s">
        <v>176</v>
      </c>
      <c r="J34" s="1036"/>
      <c r="K34" s="1036"/>
      <c r="L34" s="1036"/>
      <c r="N34" s="563">
        <v>1.095</v>
      </c>
    </row>
    <row r="35" spans="2:14" x14ac:dyDescent="0.3">
      <c r="B35" s="1118"/>
      <c r="C35" s="1017" t="s">
        <v>177</v>
      </c>
      <c r="D35" s="1018"/>
      <c r="E35" s="1019"/>
      <c r="F35" s="720">
        <v>1.083</v>
      </c>
      <c r="G35" s="246"/>
      <c r="H35" s="1118"/>
      <c r="I35" s="1036" t="s">
        <v>177</v>
      </c>
      <c r="J35" s="1036"/>
      <c r="K35" s="1036"/>
      <c r="L35" s="1036"/>
      <c r="N35" s="563">
        <v>1.083</v>
      </c>
    </row>
    <row r="36" spans="2:14" ht="16.8" x14ac:dyDescent="0.35">
      <c r="B36" s="1118"/>
      <c r="C36" s="1017" t="s">
        <v>199</v>
      </c>
      <c r="D36" s="1018"/>
      <c r="E36" s="1019"/>
      <c r="F36" s="720">
        <v>1.042</v>
      </c>
      <c r="G36" s="246"/>
      <c r="H36" s="1118"/>
      <c r="I36" s="1036" t="s">
        <v>196</v>
      </c>
      <c r="J36" s="1036"/>
      <c r="K36" s="1036"/>
      <c r="L36" s="1036"/>
      <c r="N36" s="715">
        <v>1.042</v>
      </c>
    </row>
    <row r="37" spans="2:14" ht="16.2" x14ac:dyDescent="0.3">
      <c r="B37" s="1118"/>
      <c r="C37" s="1017" t="s">
        <v>178</v>
      </c>
      <c r="D37" s="1018"/>
      <c r="E37" s="1019"/>
      <c r="F37" s="720">
        <v>1.042</v>
      </c>
      <c r="G37" s="246"/>
      <c r="H37" s="1118"/>
      <c r="I37" s="1036" t="s">
        <v>178</v>
      </c>
      <c r="J37" s="1036"/>
      <c r="K37" s="1036"/>
      <c r="L37" s="1036"/>
      <c r="N37" s="563">
        <v>1.042</v>
      </c>
    </row>
    <row r="38" spans="2:14" x14ac:dyDescent="0.3">
      <c r="B38" s="1118"/>
      <c r="C38" s="1075" t="s">
        <v>179</v>
      </c>
      <c r="D38" s="1075"/>
      <c r="E38" s="1075"/>
      <c r="F38" s="1119">
        <v>1.03</v>
      </c>
      <c r="G38" s="562"/>
      <c r="H38" s="1118"/>
      <c r="I38" s="1034" t="s">
        <v>179</v>
      </c>
      <c r="J38" s="1034"/>
      <c r="K38" s="1034"/>
      <c r="L38" s="1034"/>
      <c r="N38" s="600">
        <v>1.03</v>
      </c>
    </row>
    <row r="39" spans="2:14" ht="15" thickBot="1" x14ac:dyDescent="0.35">
      <c r="B39" s="1118"/>
      <c r="C39" s="1075"/>
      <c r="D39" s="1075"/>
      <c r="E39" s="1075"/>
      <c r="F39" s="1119"/>
      <c r="G39" s="562"/>
      <c r="H39" s="1126"/>
      <c r="I39" s="1130"/>
      <c r="J39" s="1130"/>
      <c r="K39" s="1130"/>
      <c r="L39" s="1130"/>
      <c r="M39" s="23"/>
      <c r="N39" s="601"/>
    </row>
    <row r="40" spans="2:14" ht="16.2" thickBot="1" x14ac:dyDescent="0.35">
      <c r="B40" s="1084" t="s">
        <v>181</v>
      </c>
      <c r="C40" s="1085"/>
      <c r="D40" s="1085"/>
      <c r="E40" s="1085"/>
      <c r="F40" s="1086"/>
      <c r="G40" s="15"/>
      <c r="H40" s="1121" t="s">
        <v>181</v>
      </c>
      <c r="I40" s="1122"/>
      <c r="J40" s="1122"/>
      <c r="K40" s="1122"/>
      <c r="L40" s="1122"/>
      <c r="M40" s="1122"/>
      <c r="N40" s="1123"/>
    </row>
    <row r="41" spans="2:14" ht="16.2" thickBot="1" x14ac:dyDescent="0.4">
      <c r="B41" s="1082"/>
      <c r="C41" s="1083"/>
      <c r="D41" s="1083"/>
      <c r="E41" s="1083"/>
      <c r="F41" s="721" t="s">
        <v>182</v>
      </c>
      <c r="G41" s="69"/>
      <c r="H41" s="838"/>
      <c r="I41" s="839"/>
      <c r="J41" s="839"/>
      <c r="K41" s="839"/>
      <c r="L41" s="839"/>
      <c r="M41" s="1127" t="s">
        <v>182</v>
      </c>
      <c r="N41" s="1128"/>
    </row>
    <row r="42" spans="2:14" x14ac:dyDescent="0.3">
      <c r="B42" s="1080" t="s">
        <v>190</v>
      </c>
      <c r="C42" s="1020" t="s">
        <v>183</v>
      </c>
      <c r="D42" s="1020"/>
      <c r="E42" s="1020"/>
      <c r="F42" s="722"/>
      <c r="G42" s="246"/>
      <c r="H42" s="1147" t="s">
        <v>205</v>
      </c>
      <c r="I42" s="1170" t="s">
        <v>197</v>
      </c>
      <c r="J42" s="1171"/>
      <c r="K42" s="1171"/>
      <c r="L42" s="1171"/>
      <c r="M42" s="1171"/>
      <c r="N42" s="1172"/>
    </row>
    <row r="43" spans="2:14" x14ac:dyDescent="0.3">
      <c r="B43" s="1080"/>
      <c r="C43" s="1077" t="s">
        <v>184</v>
      </c>
      <c r="D43" s="1077"/>
      <c r="E43" s="1020"/>
      <c r="F43" s="723">
        <v>2.1000000000000001E-2</v>
      </c>
      <c r="G43" s="246"/>
      <c r="H43" s="1148"/>
      <c r="I43" s="1036" t="s">
        <v>198</v>
      </c>
      <c r="J43" s="1036"/>
      <c r="K43" s="1036"/>
      <c r="L43" s="1036"/>
      <c r="M43" s="1151">
        <v>3.5999999999999997E-2</v>
      </c>
      <c r="N43" s="1152"/>
    </row>
    <row r="44" spans="2:14" x14ac:dyDescent="0.3">
      <c r="B44" s="1080"/>
      <c r="C44" s="1077" t="s">
        <v>185</v>
      </c>
      <c r="D44" s="1077"/>
      <c r="E44" s="1020"/>
      <c r="F44" s="720">
        <v>1.2E-2</v>
      </c>
      <c r="G44" s="246"/>
      <c r="H44" s="1148"/>
      <c r="I44" s="1036" t="s">
        <v>200</v>
      </c>
      <c r="J44" s="1036"/>
      <c r="K44" s="1036"/>
      <c r="L44" s="1036"/>
      <c r="M44" s="1153">
        <v>2.1000000000000001E-2</v>
      </c>
      <c r="N44" s="1154"/>
    </row>
    <row r="45" spans="2:14" x14ac:dyDescent="0.3">
      <c r="B45" s="1080"/>
      <c r="C45" s="1077" t="s">
        <v>186</v>
      </c>
      <c r="D45" s="1077"/>
      <c r="E45" s="1020"/>
      <c r="F45" s="720">
        <v>6.0000000000000001E-3</v>
      </c>
      <c r="G45" s="246"/>
      <c r="H45" s="1148"/>
      <c r="I45" s="1036" t="s">
        <v>201</v>
      </c>
      <c r="J45" s="1036"/>
      <c r="K45" s="1036"/>
      <c r="L45" s="1036"/>
      <c r="M45" s="1010">
        <v>1.4999999999999999E-2</v>
      </c>
      <c r="N45" s="1155"/>
    </row>
    <row r="46" spans="2:14" x14ac:dyDescent="0.3">
      <c r="B46" s="1080"/>
      <c r="C46" s="1020" t="s">
        <v>187</v>
      </c>
      <c r="D46" s="1020"/>
      <c r="E46" s="1020"/>
      <c r="F46" s="720">
        <v>4.4999999999999998E-2</v>
      </c>
      <c r="G46" s="246"/>
      <c r="H46" s="1148"/>
      <c r="I46" s="1037" t="s">
        <v>202</v>
      </c>
      <c r="J46" s="1037"/>
      <c r="K46" s="1037"/>
      <c r="L46" s="1037"/>
      <c r="M46" s="1010">
        <v>1.2E-2</v>
      </c>
      <c r="N46" s="1155"/>
    </row>
    <row r="47" spans="2:14" x14ac:dyDescent="0.3">
      <c r="B47" s="1080"/>
      <c r="C47" s="1020" t="s">
        <v>188</v>
      </c>
      <c r="D47" s="1020"/>
      <c r="E47" s="1020"/>
      <c r="F47" s="720">
        <v>6.3E-2</v>
      </c>
      <c r="G47" s="246"/>
      <c r="H47" s="1148"/>
      <c r="I47" s="1038" t="s">
        <v>203</v>
      </c>
      <c r="J47" s="1061"/>
      <c r="K47" s="1061"/>
      <c r="L47" s="1061"/>
      <c r="M47" s="1061"/>
      <c r="N47" s="1169"/>
    </row>
    <row r="48" spans="2:14" ht="15" thickBot="1" x14ac:dyDescent="0.35">
      <c r="B48" s="1081"/>
      <c r="C48" s="1079" t="s">
        <v>189</v>
      </c>
      <c r="D48" s="1079"/>
      <c r="E48" s="1079"/>
      <c r="F48" s="724">
        <v>0</v>
      </c>
      <c r="G48" s="246"/>
      <c r="H48" s="1148"/>
      <c r="I48" s="1136" t="s">
        <v>198</v>
      </c>
      <c r="J48" s="1136"/>
      <c r="K48" s="1136"/>
      <c r="L48" s="1136"/>
      <c r="M48" s="1141">
        <v>4.8000000000000001E-2</v>
      </c>
      <c r="N48" s="1142"/>
    </row>
    <row r="49" spans="2:14" ht="15.6" x14ac:dyDescent="0.35">
      <c r="B49" s="1082"/>
      <c r="C49" s="1083"/>
      <c r="D49" s="1083"/>
      <c r="E49" s="1083"/>
      <c r="F49" s="725" t="s">
        <v>191</v>
      </c>
      <c r="G49" s="69"/>
      <c r="H49" s="1148"/>
      <c r="I49" s="1036" t="s">
        <v>200</v>
      </c>
      <c r="J49" s="1036"/>
      <c r="K49" s="1036"/>
      <c r="L49" s="1036"/>
      <c r="M49" s="1141">
        <v>3.5999999999999997E-2</v>
      </c>
      <c r="N49" s="1142"/>
    </row>
    <row r="50" spans="2:14" ht="17.25" customHeight="1" x14ac:dyDescent="0.3">
      <c r="B50" s="1072" t="s">
        <v>562</v>
      </c>
      <c r="C50" s="1034" t="s">
        <v>192</v>
      </c>
      <c r="D50" s="1034"/>
      <c r="E50" s="1034"/>
      <c r="F50" s="1074">
        <v>4.2000000000000003E-2</v>
      </c>
      <c r="G50" s="250"/>
      <c r="H50" s="1148"/>
      <c r="I50" s="1036" t="s">
        <v>189</v>
      </c>
      <c r="J50" s="1036"/>
      <c r="K50" s="1036"/>
      <c r="L50" s="1036"/>
      <c r="M50" s="1141">
        <v>6.0000000000000001E-3</v>
      </c>
      <c r="N50" s="1142"/>
    </row>
    <row r="51" spans="2:14" ht="18" customHeight="1" thickBot="1" x14ac:dyDescent="0.35">
      <c r="B51" s="1072"/>
      <c r="C51" s="1034"/>
      <c r="D51" s="1034"/>
      <c r="E51" s="1034"/>
      <c r="F51" s="1074"/>
      <c r="G51" s="250"/>
      <c r="H51" s="1149"/>
      <c r="I51" s="1129" t="s">
        <v>204</v>
      </c>
      <c r="J51" s="1129"/>
      <c r="K51" s="1129"/>
      <c r="L51" s="1129"/>
      <c r="M51" s="1167">
        <v>0</v>
      </c>
      <c r="N51" s="1168"/>
    </row>
    <row r="52" spans="2:14" ht="16.2" thickBot="1" x14ac:dyDescent="0.4">
      <c r="B52" s="1072"/>
      <c r="C52" s="1034" t="s">
        <v>193</v>
      </c>
      <c r="D52" s="1034"/>
      <c r="E52" s="1034"/>
      <c r="F52" s="1074">
        <v>1.4999999999999999E-2</v>
      </c>
      <c r="G52" s="250"/>
      <c r="H52" s="1143"/>
      <c r="I52" s="1144"/>
      <c r="J52" s="1144"/>
      <c r="K52" s="1144"/>
      <c r="L52" s="1144"/>
      <c r="M52" s="1137" t="s">
        <v>206</v>
      </c>
      <c r="N52" s="1138"/>
    </row>
    <row r="53" spans="2:14" ht="18" customHeight="1" x14ac:dyDescent="0.3">
      <c r="B53" s="1072"/>
      <c r="C53" s="1034"/>
      <c r="D53" s="1034"/>
      <c r="E53" s="1034"/>
      <c r="F53" s="1074"/>
      <c r="G53" s="250"/>
      <c r="H53" s="954" t="s">
        <v>212</v>
      </c>
      <c r="I53" s="1150" t="s">
        <v>207</v>
      </c>
      <c r="J53" s="1150"/>
      <c r="K53" s="1150"/>
      <c r="L53" s="1150"/>
      <c r="M53" s="1139">
        <v>3.9E-2</v>
      </c>
      <c r="N53" s="1140"/>
    </row>
    <row r="54" spans="2:14" ht="17.25" customHeight="1" x14ac:dyDescent="0.3">
      <c r="B54" s="1072"/>
      <c r="C54" s="1075" t="s">
        <v>194</v>
      </c>
      <c r="D54" s="1075"/>
      <c r="E54" s="1075"/>
      <c r="F54" s="1074">
        <v>3.0000000000000001E-3</v>
      </c>
      <c r="G54" s="562"/>
      <c r="H54" s="1148"/>
      <c r="I54" s="810" t="s">
        <v>208</v>
      </c>
      <c r="J54" s="765"/>
      <c r="K54" s="765"/>
      <c r="L54" s="765"/>
      <c r="M54" s="765"/>
      <c r="N54" s="756"/>
    </row>
    <row r="55" spans="2:14" ht="15" thickBot="1" x14ac:dyDescent="0.35">
      <c r="B55" s="1073"/>
      <c r="C55" s="1076"/>
      <c r="D55" s="1076"/>
      <c r="E55" s="1076"/>
      <c r="F55" s="1078"/>
      <c r="G55" s="562"/>
      <c r="H55" s="1148"/>
      <c r="I55" s="1132" t="s">
        <v>209</v>
      </c>
      <c r="J55" s="1132"/>
      <c r="K55" s="1132"/>
      <c r="L55" s="1132"/>
      <c r="M55" s="1141">
        <v>5.0999999999999997E-2</v>
      </c>
      <c r="N55" s="1142"/>
    </row>
    <row r="56" spans="2:14" x14ac:dyDescent="0.3">
      <c r="H56" s="1148"/>
      <c r="I56" s="1132" t="s">
        <v>210</v>
      </c>
      <c r="J56" s="1132"/>
      <c r="K56" s="1132"/>
      <c r="L56" s="1132"/>
      <c r="M56" s="1141">
        <v>3.5999999999999997E-2</v>
      </c>
      <c r="N56" s="1142"/>
    </row>
    <row r="57" spans="2:14" ht="15" thickBot="1" x14ac:dyDescent="0.35">
      <c r="H57" s="1149"/>
      <c r="I57" s="1133" t="s">
        <v>211</v>
      </c>
      <c r="J57" s="1133"/>
      <c r="K57" s="1133"/>
      <c r="L57" s="1133"/>
      <c r="M57" s="1167">
        <v>8.9999999999999993E-3</v>
      </c>
      <c r="N57" s="1168"/>
    </row>
    <row r="58" spans="2:14" ht="16.2" thickBot="1" x14ac:dyDescent="0.4">
      <c r="B58" s="739" t="s">
        <v>627</v>
      </c>
      <c r="C58" s="741"/>
      <c r="H58" s="1173"/>
      <c r="I58" s="925"/>
      <c r="J58" s="925"/>
      <c r="K58" s="925"/>
      <c r="L58" s="925"/>
      <c r="M58" s="1174" t="s">
        <v>213</v>
      </c>
      <c r="N58" s="1175"/>
    </row>
    <row r="59" spans="2:14" ht="15" customHeight="1" x14ac:dyDescent="0.3">
      <c r="B59" s="615" t="s">
        <v>628</v>
      </c>
      <c r="C59" s="616">
        <v>1.1000000000000001</v>
      </c>
      <c r="H59" s="1081" t="s">
        <v>216</v>
      </c>
      <c r="I59" s="889" t="s">
        <v>217</v>
      </c>
      <c r="J59" s="890"/>
      <c r="K59" s="890"/>
      <c r="L59" s="772"/>
      <c r="M59" s="1176">
        <v>0</v>
      </c>
      <c r="N59" s="1177"/>
    </row>
    <row r="60" spans="2:14" ht="15" thickBot="1" x14ac:dyDescent="0.35">
      <c r="B60" s="617" t="s">
        <v>629</v>
      </c>
      <c r="C60" s="713">
        <v>1.1000000000000001</v>
      </c>
      <c r="H60" s="1149"/>
      <c r="I60" s="1134" t="s">
        <v>218</v>
      </c>
      <c r="J60" s="1085"/>
      <c r="K60" s="1085"/>
      <c r="L60" s="1135"/>
      <c r="M60" s="1178">
        <v>-1.7999999999999999E-2</v>
      </c>
      <c r="N60" s="1179"/>
    </row>
    <row r="61" spans="2:14" ht="15.6" x14ac:dyDescent="0.35">
      <c r="B61" s="617" t="s">
        <v>630</v>
      </c>
      <c r="C61" s="618">
        <v>0.2</v>
      </c>
      <c r="E61" s="14"/>
      <c r="H61" s="841"/>
      <c r="I61" s="818"/>
      <c r="J61" s="818"/>
      <c r="K61" s="818"/>
      <c r="L61" s="818"/>
      <c r="M61" s="1180" t="s">
        <v>214</v>
      </c>
      <c r="N61" s="1181"/>
    </row>
    <row r="62" spans="2:14" ht="15" thickBot="1" x14ac:dyDescent="0.35">
      <c r="B62" s="619" t="s">
        <v>631</v>
      </c>
      <c r="C62" s="620">
        <v>1.8</v>
      </c>
      <c r="H62" s="701" t="s">
        <v>219</v>
      </c>
      <c r="I62" s="1145"/>
      <c r="J62" s="1146"/>
      <c r="K62" s="1146"/>
      <c r="L62" s="1146"/>
      <c r="M62" s="1182">
        <v>0</v>
      </c>
      <c r="N62" s="1183"/>
    </row>
    <row r="63" spans="2:14" ht="15.6" x14ac:dyDescent="0.35">
      <c r="B63" s="711" t="s">
        <v>698</v>
      </c>
      <c r="C63" s="712">
        <v>1.3</v>
      </c>
      <c r="H63" s="1173"/>
      <c r="I63" s="925"/>
      <c r="J63" s="925"/>
      <c r="K63" s="925"/>
      <c r="L63" s="925"/>
      <c r="M63" s="1174" t="s">
        <v>215</v>
      </c>
      <c r="N63" s="1175"/>
    </row>
    <row r="64" spans="2:14" ht="15" thickBot="1" x14ac:dyDescent="0.35">
      <c r="H64" s="1080" t="s">
        <v>223</v>
      </c>
      <c r="I64" s="1036" t="s">
        <v>220</v>
      </c>
      <c r="J64" s="1036"/>
      <c r="K64" s="1036"/>
      <c r="L64" s="1036"/>
      <c r="M64" s="1163">
        <v>-0.03</v>
      </c>
      <c r="N64" s="1164"/>
    </row>
    <row r="65" spans="2:14" ht="16.2" thickBot="1" x14ac:dyDescent="0.35">
      <c r="B65" s="1157" t="s">
        <v>652</v>
      </c>
      <c r="C65" s="1158"/>
      <c r="D65" s="1159"/>
      <c r="H65" s="1080"/>
      <c r="I65" s="1036" t="s">
        <v>221</v>
      </c>
      <c r="J65" s="1036"/>
      <c r="K65" s="1036"/>
      <c r="L65" s="1036"/>
      <c r="M65" s="1163">
        <v>-0.06</v>
      </c>
      <c r="N65" s="1164"/>
    </row>
    <row r="66" spans="2:14" ht="15" thickBot="1" x14ac:dyDescent="0.35">
      <c r="B66" s="571" t="s">
        <v>656</v>
      </c>
      <c r="C66" s="572" t="s">
        <v>657</v>
      </c>
      <c r="D66" s="686" t="s">
        <v>658</v>
      </c>
      <c r="H66" s="1131"/>
      <c r="I66" s="1129" t="s">
        <v>222</v>
      </c>
      <c r="J66" s="1129"/>
      <c r="K66" s="1129"/>
      <c r="L66" s="1129"/>
      <c r="M66" s="1165">
        <v>-7.1999999999999995E-2</v>
      </c>
      <c r="N66" s="1166"/>
    </row>
    <row r="67" spans="2:14" x14ac:dyDescent="0.3">
      <c r="B67" s="684" t="s">
        <v>653</v>
      </c>
      <c r="C67" s="685">
        <v>2.7E-2</v>
      </c>
      <c r="D67" s="687">
        <v>30</v>
      </c>
    </row>
    <row r="68" spans="2:14" x14ac:dyDescent="0.3">
      <c r="B68" s="617" t="s">
        <v>377</v>
      </c>
      <c r="C68" s="607">
        <v>3.5999999999999997E-2</v>
      </c>
      <c r="D68" s="563">
        <v>36</v>
      </c>
    </row>
    <row r="69" spans="2:14" x14ac:dyDescent="0.3">
      <c r="B69" s="617" t="s">
        <v>654</v>
      </c>
      <c r="C69" s="607">
        <v>0</v>
      </c>
      <c r="D69" s="563">
        <v>0</v>
      </c>
    </row>
    <row r="70" spans="2:14" x14ac:dyDescent="0.3">
      <c r="B70" s="617" t="s">
        <v>661</v>
      </c>
      <c r="C70" s="607">
        <v>0.36599999999999999</v>
      </c>
      <c r="D70" s="563">
        <v>366</v>
      </c>
    </row>
    <row r="71" spans="2:14" x14ac:dyDescent="0.3">
      <c r="B71" s="617" t="s">
        <v>655</v>
      </c>
      <c r="C71" s="607">
        <v>0.152</v>
      </c>
      <c r="D71" s="563">
        <v>152</v>
      </c>
    </row>
    <row r="72" spans="2:14" x14ac:dyDescent="0.3">
      <c r="B72" s="716" t="s">
        <v>375</v>
      </c>
      <c r="C72" s="714">
        <v>0.20100000000000001</v>
      </c>
      <c r="D72" s="715">
        <v>201</v>
      </c>
    </row>
    <row r="73" spans="2:14" x14ac:dyDescent="0.3">
      <c r="B73" s="617" t="s">
        <v>659</v>
      </c>
      <c r="C73" s="607">
        <v>0.28799999999999998</v>
      </c>
      <c r="D73" s="563">
        <v>288</v>
      </c>
    </row>
    <row r="74" spans="2:14" x14ac:dyDescent="0.3">
      <c r="B74" s="617" t="s">
        <v>660</v>
      </c>
      <c r="C74" s="682">
        <v>0.28000000000000003</v>
      </c>
      <c r="D74" s="563">
        <v>280</v>
      </c>
    </row>
    <row r="75" spans="2:14" ht="15" thickBot="1" x14ac:dyDescent="0.35">
      <c r="B75" s="619"/>
      <c r="C75" s="534"/>
      <c r="D75" s="683"/>
    </row>
    <row r="76" spans="2:14" ht="15" thickBot="1" x14ac:dyDescent="0.35"/>
    <row r="77" spans="2:14" ht="16.2" thickBot="1" x14ac:dyDescent="0.35">
      <c r="B77" s="709" t="s">
        <v>667</v>
      </c>
      <c r="C77" s="710"/>
      <c r="D77" s="17"/>
      <c r="E77" s="18"/>
    </row>
    <row r="78" spans="2:14" ht="16.2" thickBot="1" x14ac:dyDescent="0.35">
      <c r="B78" s="696"/>
      <c r="C78" s="571" t="s">
        <v>671</v>
      </c>
      <c r="D78" s="575" t="s">
        <v>672</v>
      </c>
      <c r="E78" s="311" t="s">
        <v>670</v>
      </c>
    </row>
    <row r="79" spans="2:14" x14ac:dyDescent="0.3">
      <c r="B79" s="617" t="s">
        <v>673</v>
      </c>
      <c r="C79" s="16">
        <v>1900</v>
      </c>
      <c r="D79" s="697">
        <v>57</v>
      </c>
      <c r="E79" s="698">
        <v>0</v>
      </c>
    </row>
    <row r="80" spans="2:14" x14ac:dyDescent="0.3">
      <c r="B80" s="617" t="s">
        <v>674</v>
      </c>
      <c r="C80" s="691">
        <v>4.9000000000000004</v>
      </c>
      <c r="D80" s="692">
        <v>0.20599999999999999</v>
      </c>
      <c r="E80" s="693">
        <v>0</v>
      </c>
    </row>
    <row r="81" spans="2:5" x14ac:dyDescent="0.3">
      <c r="B81" s="617" t="s">
        <v>631</v>
      </c>
      <c r="C81" s="533">
        <v>1</v>
      </c>
      <c r="D81" s="692">
        <v>0.192</v>
      </c>
      <c r="E81" s="693">
        <v>50</v>
      </c>
    </row>
    <row r="82" spans="2:5" x14ac:dyDescent="0.3">
      <c r="B82" s="716" t="s">
        <v>676</v>
      </c>
      <c r="C82" s="717">
        <v>10.42</v>
      </c>
      <c r="D82" s="718">
        <v>0.65200000000000002</v>
      </c>
      <c r="E82" s="719">
        <v>181.83</v>
      </c>
    </row>
    <row r="83" spans="2:5" ht="15" thickBot="1" x14ac:dyDescent="0.35">
      <c r="B83" s="619" t="s">
        <v>675</v>
      </c>
      <c r="C83" s="534">
        <v>10.08</v>
      </c>
      <c r="D83" s="694">
        <v>0.59699999999999998</v>
      </c>
      <c r="E83" s="695">
        <v>0</v>
      </c>
    </row>
  </sheetData>
  <mergeCells count="121">
    <mergeCell ref="A1:L1"/>
    <mergeCell ref="B58:C58"/>
    <mergeCell ref="B65:D65"/>
    <mergeCell ref="M3:M27"/>
    <mergeCell ref="M64:N64"/>
    <mergeCell ref="M65:N65"/>
    <mergeCell ref="M66:N66"/>
    <mergeCell ref="M48:N48"/>
    <mergeCell ref="M49:N49"/>
    <mergeCell ref="M50:N50"/>
    <mergeCell ref="M51:N51"/>
    <mergeCell ref="I47:N47"/>
    <mergeCell ref="I42:N42"/>
    <mergeCell ref="I54:N54"/>
    <mergeCell ref="M57:N57"/>
    <mergeCell ref="H58:L58"/>
    <mergeCell ref="H61:L61"/>
    <mergeCell ref="H63:L63"/>
    <mergeCell ref="M58:N58"/>
    <mergeCell ref="M59:N59"/>
    <mergeCell ref="M60:N60"/>
    <mergeCell ref="M61:N61"/>
    <mergeCell ref="M62:N62"/>
    <mergeCell ref="M63:N63"/>
    <mergeCell ref="M52:N52"/>
    <mergeCell ref="M53:N53"/>
    <mergeCell ref="M55:N55"/>
    <mergeCell ref="M56:N56"/>
    <mergeCell ref="H52:L52"/>
    <mergeCell ref="I62:L62"/>
    <mergeCell ref="I64:L64"/>
    <mergeCell ref="I65:L65"/>
    <mergeCell ref="H42:H51"/>
    <mergeCell ref="H53:H57"/>
    <mergeCell ref="H59:H60"/>
    <mergeCell ref="I53:L53"/>
    <mergeCell ref="M43:N43"/>
    <mergeCell ref="M44:N44"/>
    <mergeCell ref="M45:N45"/>
    <mergeCell ref="M46:N46"/>
    <mergeCell ref="I66:L66"/>
    <mergeCell ref="I32:L32"/>
    <mergeCell ref="I33:L33"/>
    <mergeCell ref="I34:L34"/>
    <mergeCell ref="I35:L35"/>
    <mergeCell ref="I36:L36"/>
    <mergeCell ref="I37:L37"/>
    <mergeCell ref="I38:L39"/>
    <mergeCell ref="H64:H66"/>
    <mergeCell ref="I55:L55"/>
    <mergeCell ref="I56:L56"/>
    <mergeCell ref="I57:L57"/>
    <mergeCell ref="I59:L59"/>
    <mergeCell ref="I60:L60"/>
    <mergeCell ref="I43:L43"/>
    <mergeCell ref="I44:L44"/>
    <mergeCell ref="I45:L45"/>
    <mergeCell ref="I46:L46"/>
    <mergeCell ref="I48:L48"/>
    <mergeCell ref="I49:L49"/>
    <mergeCell ref="I50:L50"/>
    <mergeCell ref="I51:L51"/>
    <mergeCell ref="J3:J4"/>
    <mergeCell ref="L3:L4"/>
    <mergeCell ref="K3:K27"/>
    <mergeCell ref="I3:I27"/>
    <mergeCell ref="C3:H3"/>
    <mergeCell ref="B41:E41"/>
    <mergeCell ref="B32:B39"/>
    <mergeCell ref="C35:E35"/>
    <mergeCell ref="C34:E34"/>
    <mergeCell ref="C36:E36"/>
    <mergeCell ref="C37:E37"/>
    <mergeCell ref="F38:F39"/>
    <mergeCell ref="G4:G5"/>
    <mergeCell ref="H4:H5"/>
    <mergeCell ref="C33:E33"/>
    <mergeCell ref="C38:E39"/>
    <mergeCell ref="H30:N30"/>
    <mergeCell ref="H40:N40"/>
    <mergeCell ref="H31:K31"/>
    <mergeCell ref="M31:N31"/>
    <mergeCell ref="H32:H39"/>
    <mergeCell ref="M41:N41"/>
    <mergeCell ref="H41:L41"/>
    <mergeCell ref="D6:D8"/>
    <mergeCell ref="B40:F40"/>
    <mergeCell ref="B30:F30"/>
    <mergeCell ref="D4:D5"/>
    <mergeCell ref="E4:E5"/>
    <mergeCell ref="C4:C5"/>
    <mergeCell ref="F4:F5"/>
    <mergeCell ref="C9:C11"/>
    <mergeCell ref="D9:D11"/>
    <mergeCell ref="D12:D14"/>
    <mergeCell ref="C6:C8"/>
    <mergeCell ref="C21:C24"/>
    <mergeCell ref="C12:C14"/>
    <mergeCell ref="C17:C20"/>
    <mergeCell ref="D17:D18"/>
    <mergeCell ref="D19:D20"/>
    <mergeCell ref="D21:D22"/>
    <mergeCell ref="D23:D24"/>
    <mergeCell ref="B31:E31"/>
    <mergeCell ref="C32:E32"/>
    <mergeCell ref="B50:B55"/>
    <mergeCell ref="C50:E51"/>
    <mergeCell ref="F50:F51"/>
    <mergeCell ref="C54:E55"/>
    <mergeCell ref="C42:E42"/>
    <mergeCell ref="C43:E43"/>
    <mergeCell ref="C44:E44"/>
    <mergeCell ref="C45:E45"/>
    <mergeCell ref="C46:E46"/>
    <mergeCell ref="C47:E47"/>
    <mergeCell ref="F52:F53"/>
    <mergeCell ref="F54:F55"/>
    <mergeCell ref="C48:E48"/>
    <mergeCell ref="B42:B48"/>
    <mergeCell ref="B49:E49"/>
    <mergeCell ref="C52:E53"/>
  </mergeCells>
  <phoneticPr fontId="1" type="noConversion"/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B1D1-96EB-4675-9C50-8A95425CF9B3}">
  <dimension ref="A3:T54"/>
  <sheetViews>
    <sheetView workbookViewId="0"/>
  </sheetViews>
  <sheetFormatPr baseColWidth="10" defaultRowHeight="14.4" x14ac:dyDescent="0.3"/>
  <sheetData>
    <row r="3" spans="1:20" x14ac:dyDescent="0.3">
      <c r="A3" s="897" t="s">
        <v>39</v>
      </c>
      <c r="B3" s="773"/>
      <c r="C3" s="773"/>
      <c r="D3" s="773" t="s">
        <v>10</v>
      </c>
      <c r="E3" s="773"/>
      <c r="F3" s="773"/>
      <c r="G3" s="773"/>
      <c r="H3" s="773"/>
      <c r="I3" s="773"/>
      <c r="J3" s="773"/>
      <c r="K3" s="773"/>
      <c r="L3" s="773"/>
      <c r="M3" s="773"/>
      <c r="N3" s="773"/>
      <c r="O3" s="773"/>
      <c r="P3" s="773"/>
      <c r="Q3" s="773"/>
    </row>
    <row r="4" spans="1:20" x14ac:dyDescent="0.3">
      <c r="A4" s="773"/>
      <c r="B4" s="773"/>
      <c r="C4" s="773"/>
      <c r="D4" s="773"/>
      <c r="E4" s="773"/>
      <c r="F4" s="773"/>
      <c r="G4" s="773"/>
      <c r="H4" s="773"/>
      <c r="I4" s="773"/>
      <c r="J4" s="773"/>
      <c r="K4" s="773"/>
      <c r="L4" s="773"/>
      <c r="M4" s="773"/>
      <c r="N4" s="773"/>
      <c r="O4" s="773"/>
      <c r="P4" s="773"/>
      <c r="Q4" s="773"/>
    </row>
    <row r="5" spans="1:20" x14ac:dyDescent="0.3">
      <c r="A5" s="773" t="s">
        <v>41</v>
      </c>
      <c r="B5" s="773"/>
      <c r="C5" s="773"/>
      <c r="D5" s="897" t="s">
        <v>4</v>
      </c>
      <c r="E5" s="773"/>
      <c r="F5" s="773"/>
      <c r="G5" s="773"/>
      <c r="H5" s="773"/>
      <c r="I5" s="773"/>
      <c r="J5" s="773"/>
      <c r="K5" s="773"/>
      <c r="L5" s="773"/>
      <c r="M5" s="773"/>
      <c r="N5" s="773"/>
      <c r="O5" s="773"/>
      <c r="P5" s="773"/>
      <c r="Q5" s="773"/>
    </row>
    <row r="6" spans="1:20" x14ac:dyDescent="0.3">
      <c r="A6" s="773"/>
      <c r="B6" s="773"/>
      <c r="C6" s="773"/>
      <c r="D6" s="773"/>
      <c r="E6" s="773"/>
      <c r="F6" s="773"/>
      <c r="G6" s="773"/>
      <c r="H6" s="773"/>
      <c r="I6" s="773"/>
      <c r="J6" s="773"/>
      <c r="K6" s="773"/>
      <c r="L6" s="773"/>
      <c r="M6" s="773"/>
      <c r="N6" s="773"/>
      <c r="O6" s="773"/>
      <c r="P6" s="773"/>
      <c r="Q6" s="773"/>
    </row>
    <row r="7" spans="1:20" x14ac:dyDescent="0.3">
      <c r="A7" s="773" t="s">
        <v>5</v>
      </c>
      <c r="B7" s="773"/>
      <c r="C7" s="773"/>
      <c r="D7" s="1184" t="s">
        <v>40</v>
      </c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3"/>
    </row>
    <row r="8" spans="1:20" x14ac:dyDescent="0.3">
      <c r="A8" s="773"/>
      <c r="B8" s="773"/>
      <c r="C8" s="773"/>
      <c r="D8" s="773"/>
      <c r="E8" s="773"/>
      <c r="F8" s="773"/>
      <c r="G8" s="773"/>
      <c r="H8" s="773"/>
      <c r="I8" s="773"/>
      <c r="J8" s="773"/>
      <c r="K8" s="773"/>
      <c r="L8" s="773"/>
      <c r="M8" s="773"/>
      <c r="N8" s="773"/>
      <c r="O8" s="773"/>
      <c r="P8" s="773"/>
      <c r="Q8" s="773"/>
    </row>
    <row r="9" spans="1:20" x14ac:dyDescent="0.3">
      <c r="A9" s="773" t="s">
        <v>6</v>
      </c>
      <c r="B9" s="773"/>
      <c r="C9" s="773"/>
      <c r="D9" s="773" t="s">
        <v>7</v>
      </c>
      <c r="E9" s="773"/>
      <c r="F9" s="773"/>
      <c r="G9" s="773"/>
      <c r="H9" s="773"/>
      <c r="I9" s="773"/>
      <c r="J9" s="773"/>
      <c r="K9" s="773"/>
      <c r="L9" s="773"/>
      <c r="M9" s="773"/>
      <c r="N9" s="773"/>
      <c r="O9" s="773"/>
      <c r="P9" s="773"/>
      <c r="Q9" s="773"/>
    </row>
    <row r="10" spans="1:20" x14ac:dyDescent="0.3">
      <c r="A10" s="773"/>
      <c r="B10" s="773"/>
      <c r="C10" s="773"/>
      <c r="D10" s="773"/>
      <c r="E10" s="773"/>
      <c r="F10" s="773"/>
      <c r="G10" s="773"/>
      <c r="H10" s="773"/>
      <c r="I10" s="773"/>
      <c r="J10" s="773"/>
      <c r="K10" s="773"/>
      <c r="L10" s="773"/>
      <c r="M10" s="773"/>
      <c r="N10" s="773"/>
      <c r="O10" s="773"/>
      <c r="P10" s="773"/>
      <c r="Q10" s="773"/>
    </row>
    <row r="11" spans="1:20" x14ac:dyDescent="0.3">
      <c r="A11" s="897" t="s">
        <v>11</v>
      </c>
      <c r="B11" s="773"/>
      <c r="C11" s="773"/>
      <c r="D11" s="1184" t="s">
        <v>8</v>
      </c>
      <c r="E11" s="773"/>
      <c r="F11" s="773"/>
      <c r="G11" s="773"/>
      <c r="H11" s="773"/>
      <c r="I11" s="773"/>
      <c r="J11" s="773"/>
      <c r="K11" s="773"/>
      <c r="L11" s="773"/>
      <c r="M11" s="773"/>
      <c r="N11" s="773"/>
      <c r="O11" s="773"/>
      <c r="P11" s="773"/>
      <c r="Q11" s="773"/>
      <c r="S11" s="728" t="s">
        <v>12</v>
      </c>
      <c r="T11" s="728"/>
    </row>
    <row r="12" spans="1:20" x14ac:dyDescent="0.3">
      <c r="A12" s="773"/>
      <c r="B12" s="773"/>
      <c r="C12" s="773"/>
      <c r="D12" s="773"/>
      <c r="E12" s="773"/>
      <c r="F12" s="773"/>
      <c r="G12" s="773"/>
      <c r="H12" s="773"/>
      <c r="I12" s="773"/>
      <c r="J12" s="773"/>
      <c r="K12" s="773"/>
      <c r="L12" s="773"/>
      <c r="M12" s="773"/>
      <c r="N12" s="773"/>
      <c r="O12" s="773"/>
      <c r="P12" s="773"/>
      <c r="Q12" s="773"/>
      <c r="S12" s="728"/>
      <c r="T12" s="728"/>
    </row>
    <row r="13" spans="1:20" x14ac:dyDescent="0.3">
      <c r="A13" s="884" t="s">
        <v>14</v>
      </c>
      <c r="B13" s="761"/>
      <c r="C13" s="900"/>
      <c r="D13" s="872" t="s">
        <v>15</v>
      </c>
      <c r="E13" s="873"/>
      <c r="F13" s="873"/>
      <c r="G13" s="873"/>
      <c r="H13" s="873"/>
      <c r="I13" s="873"/>
      <c r="J13" s="873"/>
      <c r="K13" s="873"/>
      <c r="L13" s="873"/>
      <c r="M13" s="873"/>
      <c r="N13" s="873"/>
      <c r="O13" s="873"/>
      <c r="P13" s="873"/>
      <c r="Q13" s="774"/>
      <c r="S13" s="728" t="s">
        <v>13</v>
      </c>
      <c r="T13" s="728"/>
    </row>
    <row r="14" spans="1:20" x14ac:dyDescent="0.3">
      <c r="A14" s="912"/>
      <c r="B14" s="780"/>
      <c r="C14" s="917"/>
      <c r="D14" s="895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800"/>
      <c r="Q14" s="852"/>
      <c r="S14" s="728"/>
      <c r="T14" s="728"/>
    </row>
    <row r="15" spans="1:20" x14ac:dyDescent="0.3">
      <c r="A15" s="773" t="s">
        <v>38</v>
      </c>
      <c r="B15" s="773"/>
      <c r="C15" s="773"/>
      <c r="D15" s="773" t="s">
        <v>9</v>
      </c>
      <c r="E15" s="773"/>
      <c r="F15" s="773"/>
      <c r="G15" s="773"/>
      <c r="H15" s="773"/>
      <c r="I15" s="773"/>
      <c r="J15" s="773"/>
      <c r="K15" s="773"/>
      <c r="L15" s="773"/>
      <c r="M15" s="773"/>
      <c r="N15" s="773"/>
      <c r="O15" s="773"/>
      <c r="P15" s="773"/>
      <c r="Q15" s="773"/>
    </row>
    <row r="16" spans="1:20" x14ac:dyDescent="0.3">
      <c r="A16" s="773"/>
      <c r="B16" s="773"/>
      <c r="C16" s="773"/>
      <c r="D16" s="773"/>
      <c r="E16" s="773"/>
      <c r="F16" s="773"/>
      <c r="G16" s="773"/>
      <c r="H16" s="773"/>
      <c r="I16" s="773"/>
      <c r="J16" s="773"/>
      <c r="K16" s="773"/>
      <c r="L16" s="773"/>
      <c r="M16" s="773"/>
      <c r="N16" s="773"/>
      <c r="O16" s="773"/>
      <c r="P16" s="773"/>
      <c r="Q16" s="773"/>
    </row>
    <row r="17" spans="1:17" x14ac:dyDescent="0.3">
      <c r="A17" s="773" t="s">
        <v>37</v>
      </c>
      <c r="B17" s="773"/>
      <c r="C17" s="773"/>
      <c r="D17" s="773" t="s">
        <v>34</v>
      </c>
      <c r="E17" s="773"/>
      <c r="F17" s="773"/>
      <c r="G17" s="773"/>
      <c r="H17" s="773"/>
      <c r="I17" s="773"/>
      <c r="J17" s="773"/>
      <c r="K17" s="773"/>
      <c r="L17" s="773"/>
      <c r="M17" s="773"/>
      <c r="N17" s="773"/>
      <c r="O17" s="773"/>
      <c r="P17" s="773"/>
      <c r="Q17" s="773"/>
    </row>
    <row r="18" spans="1:17" x14ac:dyDescent="0.3">
      <c r="A18" s="773"/>
      <c r="B18" s="773"/>
      <c r="C18" s="773"/>
      <c r="D18" s="773"/>
      <c r="E18" s="773"/>
      <c r="F18" s="773"/>
      <c r="G18" s="773"/>
      <c r="H18" s="773"/>
      <c r="I18" s="773"/>
      <c r="J18" s="773"/>
      <c r="K18" s="773"/>
      <c r="L18" s="773"/>
      <c r="M18" s="773"/>
      <c r="N18" s="773"/>
      <c r="O18" s="773"/>
      <c r="P18" s="773"/>
      <c r="Q18" s="773"/>
    </row>
    <row r="19" spans="1:17" x14ac:dyDescent="0.3">
      <c r="A19" s="884" t="s">
        <v>36</v>
      </c>
      <c r="B19" s="873"/>
      <c r="C19" s="774"/>
      <c r="D19" s="872" t="s">
        <v>35</v>
      </c>
      <c r="E19" s="873"/>
      <c r="F19" s="873"/>
      <c r="G19" s="873"/>
      <c r="H19" s="873"/>
      <c r="I19" s="873"/>
      <c r="J19" s="873"/>
      <c r="K19" s="873"/>
      <c r="L19" s="873"/>
      <c r="M19" s="873"/>
      <c r="N19" s="873"/>
      <c r="O19" s="873"/>
      <c r="P19" s="873"/>
      <c r="Q19" s="774"/>
    </row>
    <row r="20" spans="1:17" x14ac:dyDescent="0.3">
      <c r="A20" s="895"/>
      <c r="B20" s="800"/>
      <c r="C20" s="852"/>
      <c r="D20" s="895"/>
      <c r="E20" s="800"/>
      <c r="F20" s="800"/>
      <c r="G20" s="800"/>
      <c r="H20" s="800"/>
      <c r="I20" s="800"/>
      <c r="J20" s="800"/>
      <c r="K20" s="800"/>
      <c r="L20" s="800"/>
      <c r="M20" s="800"/>
      <c r="N20" s="800"/>
      <c r="O20" s="800"/>
      <c r="P20" s="800"/>
      <c r="Q20" s="852"/>
    </row>
    <row r="21" spans="1:17" ht="15" customHeight="1" x14ac:dyDescent="0.3">
      <c r="A21" s="884" t="s">
        <v>18</v>
      </c>
      <c r="B21" s="761"/>
      <c r="C21" s="900"/>
      <c r="D21" s="884" t="s">
        <v>43</v>
      </c>
      <c r="E21" s="873"/>
      <c r="F21" s="873"/>
      <c r="G21" s="873"/>
      <c r="H21" s="873"/>
      <c r="I21" s="873"/>
      <c r="J21" s="873"/>
      <c r="K21" s="873"/>
      <c r="L21" s="873"/>
      <c r="M21" s="873"/>
      <c r="N21" s="873"/>
      <c r="O21" s="873"/>
      <c r="P21" s="873"/>
      <c r="Q21" s="774"/>
    </row>
    <row r="22" spans="1:17" x14ac:dyDescent="0.3">
      <c r="A22" s="912"/>
      <c r="B22" s="780"/>
      <c r="C22" s="917"/>
      <c r="D22" s="895"/>
      <c r="E22" s="800"/>
      <c r="F22" s="800"/>
      <c r="G22" s="800"/>
      <c r="H22" s="800"/>
      <c r="I22" s="800"/>
      <c r="J22" s="800"/>
      <c r="K22" s="800"/>
      <c r="L22" s="800"/>
      <c r="M22" s="800"/>
      <c r="N22" s="800"/>
      <c r="O22" s="800"/>
      <c r="P22" s="800"/>
      <c r="Q22" s="852"/>
    </row>
    <row r="26" spans="1:17" x14ac:dyDescent="0.3">
      <c r="A26" s="728" t="s">
        <v>19</v>
      </c>
      <c r="B26" s="728"/>
      <c r="C26" s="728"/>
      <c r="D26" s="728"/>
      <c r="E26" s="728"/>
      <c r="F26" s="728"/>
      <c r="G26" s="728"/>
      <c r="H26" s="728"/>
    </row>
    <row r="27" spans="1:17" x14ac:dyDescent="0.3">
      <c r="A27" s="728"/>
      <c r="B27" s="728"/>
      <c r="C27" s="728"/>
      <c r="D27" s="728"/>
      <c r="E27" s="728"/>
      <c r="F27" s="728"/>
      <c r="G27" s="728"/>
      <c r="H27" s="728"/>
    </row>
    <row r="35" spans="1:1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54" spans="1:19" x14ac:dyDescent="0.3">
      <c r="A54" s="765"/>
      <c r="B54" s="765"/>
      <c r="C54" s="765"/>
      <c r="D54" s="765"/>
      <c r="E54" s="765"/>
      <c r="F54" s="765"/>
      <c r="G54" s="765"/>
      <c r="H54" s="765"/>
      <c r="L54" s="765"/>
      <c r="M54" s="765"/>
      <c r="N54" s="765"/>
      <c r="O54" s="765"/>
      <c r="P54" s="765"/>
      <c r="Q54" s="765"/>
      <c r="R54" s="765"/>
      <c r="S54" s="765"/>
    </row>
  </sheetData>
  <mergeCells count="25">
    <mergeCell ref="A3:C4"/>
    <mergeCell ref="D3:Q4"/>
    <mergeCell ref="A5:C6"/>
    <mergeCell ref="D5:Q6"/>
    <mergeCell ref="A54:H54"/>
    <mergeCell ref="L54:S54"/>
    <mergeCell ref="A7:C8"/>
    <mergeCell ref="D7:Q8"/>
    <mergeCell ref="A9:C10"/>
    <mergeCell ref="D9:Q10"/>
    <mergeCell ref="A11:C12"/>
    <mergeCell ref="D11:Q12"/>
    <mergeCell ref="D21:Q22"/>
    <mergeCell ref="S11:T12"/>
    <mergeCell ref="S13:T14"/>
    <mergeCell ref="A13:C14"/>
    <mergeCell ref="D13:Q14"/>
    <mergeCell ref="A26:H27"/>
    <mergeCell ref="D19:Q20"/>
    <mergeCell ref="A21:C22"/>
    <mergeCell ref="A15:C16"/>
    <mergeCell ref="D15:Q16"/>
    <mergeCell ref="A17:C18"/>
    <mergeCell ref="D17:Q18"/>
    <mergeCell ref="A19:C2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Grobkonzept</vt:lpstr>
      <vt:lpstr>Dach-Fenster</vt:lpstr>
      <vt:lpstr>OGD</vt:lpstr>
      <vt:lpstr>AW-Fenster</vt:lpstr>
      <vt:lpstr>UGD</vt:lpstr>
      <vt:lpstr>Heizung</vt:lpstr>
      <vt:lpstr>Berechnungen</vt:lpstr>
      <vt:lpstr>Kat. 1 U-Wert</vt:lpstr>
      <vt:lpstr>Kat. 2 Heizung</vt:lpstr>
      <vt:lpstr>Formeln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Alexander Soell</cp:lastModifiedBy>
  <cp:lastPrinted>2026-03-24T15:03:56Z</cp:lastPrinted>
  <dcterms:created xsi:type="dcterms:W3CDTF">2025-12-16T16:13:46Z</dcterms:created>
  <dcterms:modified xsi:type="dcterms:W3CDTF">2026-05-28T06:55:36Z</dcterms:modified>
</cp:coreProperties>
</file>